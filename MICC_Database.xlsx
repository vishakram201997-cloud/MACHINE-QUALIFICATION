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nti gravity project 1\"/>
    </mc:Choice>
  </mc:AlternateContent>
  <bookViews>
    <workbookView xWindow="0" yWindow="0" windowWidth="20490" windowHeight="9765"/>
  </bookViews>
  <sheets>
    <sheet name="WebpageOverrides" sheetId="9" r:id="rId1"/>
    <sheet name="MEPReadiness" sheetId="8" r:id="rId2"/>
    <sheet name="PendingEquipments" sheetId="7" r:id="rId3"/>
    <sheet name="ManpowerPlanning" sheetId="6" r:id="rId4"/>
    <sheet name="ManpowerSummary" sheetId="5" r:id="rId5"/>
    <sheet name="ManpowerPlan" sheetId="4" r:id="rId6"/>
    <sheet name="FinalSummary" sheetId="3" r:id="rId7"/>
    <sheet name="InstallationPlanBatch1" sheetId="2" r:id="rId8"/>
  </sheets>
  <externalReferences>
    <externalReference r:id="rId9"/>
    <externalReference r:id="rId10"/>
  </externalReferences>
  <definedNames>
    <definedName name="_xlnm._FilterDatabase" localSheetId="7" hidden="1">InstallationPlanBatch1!$B$1:$J$155</definedName>
    <definedName name="_xlnm._FilterDatabase" localSheetId="5" hidden="1">ManpowerPlan!$A$1:$N$83</definedName>
    <definedName name="_xlnm._FilterDatabase" localSheetId="1" hidden="1">MEPReadiness!$A$1:$V$25</definedName>
    <definedName name="_xlnm._FilterDatabase" localSheetId="2" hidden="1">PendingEquipments!$A$1:$L$121</definedName>
    <definedName name="_xlnm.Print_Area" localSheetId="2">PendingEquipments!$A$1:$L$120</definedName>
    <definedName name="Slicer_Department">#N/A</definedName>
    <definedName name="Slicer_Description">#N/A</definedName>
    <definedName name="Slicer_Primary">#N/A</definedName>
    <definedName name="Slicer_Secondary">#N/A</definedName>
    <definedName name="Slicer_Team_Lead">#N/A</definedName>
  </definedNames>
  <calcPr calcId="162913"/>
  <pivotCaches>
    <pivotCache cacheId="9" r:id="rId11"/>
  </pivotCaches>
  <extLst>
    <ext xmlns:x14="http://schemas.microsoft.com/office/spreadsheetml/2009/9/main" uri="{876F7934-8845-4945-9796-88D515C7AA90}">
      <x14:pivotCaches>
        <pivotCache cacheId="13"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21" i="7" l="1"/>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F59" i="7"/>
  <c r="J58" i="7"/>
  <c r="F58" i="7"/>
  <c r="J57" i="7"/>
  <c r="J56" i="7"/>
  <c r="J55" i="7"/>
  <c r="F55" i="7"/>
  <c r="J54" i="7"/>
  <c r="F54" i="7"/>
  <c r="J53" i="7"/>
  <c r="F53" i="7"/>
  <c r="J52" i="7"/>
  <c r="F52" i="7"/>
  <c r="J51" i="7"/>
  <c r="J50" i="7"/>
  <c r="J49" i="7"/>
  <c r="J48" i="7"/>
  <c r="F48" i="7"/>
  <c r="J47" i="7"/>
  <c r="F47" i="7"/>
  <c r="J46" i="7"/>
  <c r="F46" i="7"/>
  <c r="J45" i="7"/>
  <c r="F45" i="7"/>
  <c r="J44" i="7"/>
  <c r="F44" i="7"/>
  <c r="J43" i="7"/>
  <c r="J42" i="7"/>
  <c r="J41" i="7"/>
  <c r="F41" i="7"/>
  <c r="J40" i="7"/>
  <c r="F40" i="7"/>
  <c r="J39" i="7"/>
  <c r="F39" i="7"/>
  <c r="J38" i="7"/>
  <c r="F38" i="7"/>
  <c r="J37" i="7"/>
  <c r="F37" i="7"/>
  <c r="J36" i="7"/>
  <c r="F36" i="7"/>
  <c r="J35" i="7"/>
  <c r="F35" i="7"/>
  <c r="J34" i="7"/>
  <c r="F34" i="7"/>
  <c r="J33" i="7"/>
  <c r="F33" i="7"/>
  <c r="J32" i="7"/>
  <c r="F32" i="7"/>
  <c r="J31" i="7"/>
  <c r="F31" i="7"/>
  <c r="J30" i="7"/>
  <c r="F30" i="7"/>
  <c r="J29" i="7"/>
  <c r="F29" i="7"/>
  <c r="J28" i="7"/>
  <c r="F28" i="7"/>
  <c r="J27" i="7"/>
  <c r="F27" i="7"/>
  <c r="J26" i="7"/>
  <c r="F26" i="7"/>
  <c r="J25" i="7"/>
  <c r="F25" i="7"/>
  <c r="J24" i="7"/>
  <c r="F24" i="7"/>
  <c r="J23" i="7"/>
  <c r="F23" i="7"/>
  <c r="J22" i="7"/>
  <c r="F22" i="7"/>
  <c r="J21" i="7"/>
  <c r="J20" i="7"/>
  <c r="J19" i="7"/>
  <c r="J18" i="7"/>
  <c r="J17" i="7"/>
  <c r="J16" i="7"/>
  <c r="J15" i="7"/>
  <c r="J14" i="7"/>
  <c r="J13" i="7"/>
  <c r="J12" i="7"/>
  <c r="F12" i="7"/>
  <c r="J11" i="7"/>
  <c r="J10" i="7"/>
  <c r="J9" i="7"/>
  <c r="J8" i="7"/>
  <c r="J7" i="7"/>
  <c r="J6" i="7"/>
  <c r="J5" i="7"/>
  <c r="J4" i="7"/>
  <c r="J3" i="7"/>
  <c r="J2" i="7"/>
  <c r="N83" i="4" l="1"/>
  <c r="N82" i="4"/>
  <c r="N81" i="4"/>
  <c r="N80" i="4"/>
  <c r="N79" i="4"/>
  <c r="N78" i="4"/>
  <c r="N73" i="4"/>
  <c r="N72" i="4"/>
  <c r="N71" i="4"/>
  <c r="N70" i="4"/>
  <c r="N69" i="4"/>
  <c r="N68" i="4"/>
  <c r="N65" i="4"/>
  <c r="N64" i="4"/>
  <c r="N63" i="4"/>
  <c r="N62" i="4"/>
  <c r="N61" i="4"/>
  <c r="N60" i="4"/>
  <c r="N59" i="4"/>
  <c r="N58" i="4"/>
  <c r="N57" i="4"/>
  <c r="N56" i="4"/>
  <c r="N55" i="4"/>
  <c r="N53" i="4"/>
  <c r="N52" i="4"/>
  <c r="N51" i="4"/>
  <c r="N49" i="4"/>
  <c r="N48" i="4"/>
  <c r="N47" i="4"/>
  <c r="N46" i="4"/>
  <c r="N45" i="4"/>
  <c r="N44" i="4"/>
  <c r="N43" i="4"/>
  <c r="N42" i="4"/>
  <c r="N41" i="4"/>
  <c r="N40" i="4"/>
  <c r="N39" i="4"/>
  <c r="N38" i="4"/>
  <c r="N37" i="4"/>
  <c r="N36" i="4"/>
  <c r="N35" i="4"/>
  <c r="N34" i="4"/>
  <c r="N33" i="4"/>
  <c r="N32" i="4"/>
  <c r="N31" i="4"/>
  <c r="N30" i="4"/>
  <c r="N29" i="4"/>
  <c r="N28" i="4"/>
  <c r="N27" i="4"/>
  <c r="N26" i="4"/>
  <c r="N25" i="4"/>
  <c r="N24" i="4"/>
  <c r="N23" i="4"/>
  <c r="N22" i="4"/>
  <c r="N19" i="4"/>
  <c r="N18" i="4"/>
  <c r="N17" i="4"/>
  <c r="N16" i="4"/>
  <c r="N13" i="4"/>
  <c r="N12" i="4"/>
  <c r="N11" i="4"/>
  <c r="N10" i="4"/>
  <c r="N9" i="4"/>
  <c r="N8" i="4"/>
  <c r="N7" i="4"/>
  <c r="N6" i="4"/>
  <c r="N5" i="4"/>
  <c r="N4" i="4"/>
  <c r="N3" i="4"/>
  <c r="N2" i="4"/>
  <c r="F20" i="3" l="1"/>
  <c r="E17" i="3"/>
  <c r="F17" i="3" s="1"/>
  <c r="E15" i="3"/>
  <c r="F15" i="3" s="1"/>
  <c r="F13" i="3"/>
  <c r="F12" i="3"/>
  <c r="F8" i="3"/>
  <c r="F7" i="3"/>
  <c r="F6" i="3"/>
  <c r="I154" i="2" l="1"/>
  <c r="H155" i="2" s="1"/>
  <c r="I155" i="2" s="1"/>
  <c r="L153" i="2"/>
  <c r="K153" i="2"/>
  <c r="C153" i="2"/>
  <c r="B153" i="2"/>
  <c r="L152" i="2"/>
  <c r="K152" i="2"/>
  <c r="L151" i="2"/>
  <c r="K151" i="2"/>
  <c r="L150" i="2"/>
  <c r="K150" i="2"/>
  <c r="L149" i="2"/>
  <c r="K149" i="2"/>
  <c r="L148" i="2"/>
  <c r="K148" i="2"/>
  <c r="L147" i="2"/>
  <c r="K147" i="2"/>
  <c r="L146" i="2"/>
  <c r="K146" i="2"/>
  <c r="L145" i="2"/>
  <c r="K145" i="2"/>
  <c r="L144" i="2"/>
  <c r="K144" i="2"/>
  <c r="L143" i="2"/>
  <c r="K143" i="2"/>
  <c r="L142" i="2"/>
  <c r="K142" i="2"/>
  <c r="H142" i="2"/>
  <c r="I142" i="2" s="1"/>
  <c r="H143" i="2" s="1"/>
  <c r="I143" i="2" s="1"/>
  <c r="H144" i="2" s="1"/>
  <c r="I144" i="2" s="1"/>
  <c r="H145" i="2" s="1"/>
  <c r="I145" i="2" s="1"/>
  <c r="H146" i="2" s="1"/>
  <c r="I146" i="2" s="1"/>
  <c r="H147" i="2" s="1"/>
  <c r="I147" i="2" s="1"/>
  <c r="H148" i="2" s="1"/>
  <c r="I148" i="2" s="1"/>
  <c r="H149" i="2" s="1"/>
  <c r="I149" i="2" s="1"/>
  <c r="H150" i="2" s="1"/>
  <c r="I150" i="2" s="1"/>
  <c r="H151" i="2" s="1"/>
  <c r="I151" i="2" s="1"/>
  <c r="H152" i="2" s="1"/>
  <c r="I152" i="2" s="1"/>
  <c r="H153" i="2" s="1"/>
  <c r="I153" i="2" s="1"/>
  <c r="L141" i="2"/>
  <c r="K141" i="2"/>
  <c r="L140" i="2"/>
  <c r="K140" i="2"/>
  <c r="L139" i="2"/>
  <c r="K139" i="2"/>
  <c r="L138" i="2"/>
  <c r="K138" i="2"/>
  <c r="L137" i="2"/>
  <c r="K137" i="2"/>
  <c r="L136" i="2"/>
  <c r="K136" i="2"/>
  <c r="L135" i="2"/>
  <c r="K135" i="2"/>
  <c r="L134" i="2"/>
  <c r="K134" i="2"/>
  <c r="H134" i="2"/>
  <c r="I134" i="2" s="1"/>
  <c r="H135" i="2" s="1"/>
  <c r="I135" i="2" s="1"/>
  <c r="H136" i="2" s="1"/>
  <c r="I136" i="2" s="1"/>
  <c r="H137" i="2" s="1"/>
  <c r="I137" i="2" s="1"/>
  <c r="H138" i="2" s="1"/>
  <c r="I138" i="2" s="1"/>
  <c r="H139" i="2" s="1"/>
  <c r="I139" i="2" s="1"/>
  <c r="H140" i="2" s="1"/>
  <c r="I140" i="2" s="1"/>
  <c r="H141" i="2" s="1"/>
  <c r="I141" i="2" s="1"/>
  <c r="D133" i="2"/>
  <c r="K133" i="2" s="1"/>
  <c r="C133" i="2"/>
  <c r="L133" i="2" s="1"/>
  <c r="B133" i="2"/>
  <c r="L132" i="2"/>
  <c r="K132" i="2"/>
  <c r="I132" i="2"/>
  <c r="H133" i="2" s="1"/>
  <c r="I133" i="2" s="1"/>
  <c r="I131" i="2"/>
  <c r="H131" i="2"/>
  <c r="D131" i="2"/>
  <c r="K131" i="2" s="1"/>
  <c r="B131" i="2"/>
  <c r="L130" i="2"/>
  <c r="K130" i="2"/>
  <c r="I130" i="2"/>
  <c r="L129" i="2"/>
  <c r="K129" i="2"/>
  <c r="L128" i="2"/>
  <c r="K128" i="2"/>
  <c r="I128" i="2"/>
  <c r="H129" i="2" s="1"/>
  <c r="I129" i="2" s="1"/>
  <c r="K127" i="2"/>
  <c r="D127" i="2"/>
  <c r="C127" i="2"/>
  <c r="L127" i="2" s="1"/>
  <c r="B127" i="2"/>
  <c r="L126" i="2"/>
  <c r="K126" i="2"/>
  <c r="H125" i="2"/>
  <c r="I125" i="2" s="1"/>
  <c r="D125" i="2"/>
  <c r="L125" i="2" s="1"/>
  <c r="C125" i="2"/>
  <c r="B125" i="2"/>
  <c r="L124" i="2"/>
  <c r="K124" i="2"/>
  <c r="I124" i="2"/>
  <c r="K123" i="2"/>
  <c r="D123" i="2"/>
  <c r="C123" i="2"/>
  <c r="L123" i="2" s="1"/>
  <c r="B123" i="2"/>
  <c r="L122" i="2"/>
  <c r="K122" i="2"/>
  <c r="I122" i="2"/>
  <c r="H123" i="2" s="1"/>
  <c r="I123" i="2" s="1"/>
  <c r="D121" i="2"/>
  <c r="L121" i="2" s="1"/>
  <c r="C121" i="2"/>
  <c r="B121" i="2"/>
  <c r="L120" i="2"/>
  <c r="K120" i="2"/>
  <c r="H120" i="2"/>
  <c r="I120" i="2" s="1"/>
  <c r="H121" i="2" s="1"/>
  <c r="I121" i="2" s="1"/>
  <c r="H126" i="2" s="1"/>
  <c r="I126" i="2" s="1"/>
  <c r="H127" i="2" s="1"/>
  <c r="I127" i="2" s="1"/>
  <c r="D119" i="2"/>
  <c r="K119" i="2" s="1"/>
  <c r="C119" i="2"/>
  <c r="L119" i="2" s="1"/>
  <c r="B119" i="2"/>
  <c r="L118" i="2"/>
  <c r="K118" i="2"/>
  <c r="I118" i="2"/>
  <c r="H119" i="2" s="1"/>
  <c r="I119" i="2" s="1"/>
  <c r="K117" i="2"/>
  <c r="D117" i="2"/>
  <c r="C117" i="2"/>
  <c r="L117" i="2" s="1"/>
  <c r="B117" i="2"/>
  <c r="L116" i="2"/>
  <c r="K116" i="2"/>
  <c r="H116" i="2"/>
  <c r="I116" i="2" s="1"/>
  <c r="H117" i="2" s="1"/>
  <c r="I117" i="2" s="1"/>
  <c r="L115" i="2"/>
  <c r="D115" i="2"/>
  <c r="K115" i="2" s="1"/>
  <c r="C115" i="2"/>
  <c r="B115" i="2"/>
  <c r="L114" i="2"/>
  <c r="K114" i="2"/>
  <c r="H114" i="2"/>
  <c r="I114" i="2" s="1"/>
  <c r="H115" i="2" s="1"/>
  <c r="I115" i="2" s="1"/>
  <c r="H113" i="2"/>
  <c r="I113" i="2" s="1"/>
  <c r="T112" i="2" s="1"/>
  <c r="D113" i="2"/>
  <c r="K113" i="2" s="1"/>
  <c r="C113" i="2"/>
  <c r="L113" i="2" s="1"/>
  <c r="B113" i="2"/>
  <c r="L112" i="2"/>
  <c r="K112" i="2"/>
  <c r="I112" i="2"/>
  <c r="K111" i="2"/>
  <c r="D111" i="2"/>
  <c r="C111" i="2"/>
  <c r="L111" i="2" s="1"/>
  <c r="B111" i="2"/>
  <c r="R110" i="2"/>
  <c r="L110" i="2"/>
  <c r="K110" i="2"/>
  <c r="H110" i="2"/>
  <c r="I110" i="2" s="1"/>
  <c r="H111" i="2" s="1"/>
  <c r="I111" i="2" s="1"/>
  <c r="T110" i="2" s="1"/>
  <c r="I103" i="2"/>
  <c r="H104" i="2" s="1"/>
  <c r="I104" i="2" s="1"/>
  <c r="H105" i="2" s="1"/>
  <c r="I105" i="2" s="1"/>
  <c r="H106" i="2" s="1"/>
  <c r="I106" i="2" s="1"/>
  <c r="H107" i="2" s="1"/>
  <c r="I107" i="2" s="1"/>
  <c r="H108" i="2" s="1"/>
  <c r="I108" i="2" s="1"/>
  <c r="H109" i="2" s="1"/>
  <c r="I109" i="2" s="1"/>
  <c r="L48" i="2"/>
  <c r="K48" i="2"/>
  <c r="L47" i="2"/>
  <c r="K47" i="2"/>
  <c r="L46" i="2"/>
  <c r="K46" i="2"/>
  <c r="P45" i="2"/>
  <c r="H45" i="2" s="1"/>
  <c r="I45" i="2" s="1"/>
  <c r="L45" i="2"/>
  <c r="K45" i="2"/>
  <c r="L44" i="2"/>
  <c r="K44" i="2"/>
  <c r="L43" i="2"/>
  <c r="K43" i="2"/>
  <c r="L42" i="2"/>
  <c r="K42" i="2"/>
  <c r="P41" i="2"/>
  <c r="H41" i="2" s="1"/>
  <c r="I41" i="2" s="1"/>
  <c r="L41" i="2"/>
  <c r="K41" i="2"/>
  <c r="L40" i="2"/>
  <c r="K40" i="2"/>
  <c r="L39" i="2"/>
  <c r="K39" i="2"/>
  <c r="L38" i="2"/>
  <c r="K38" i="2"/>
  <c r="T37" i="2"/>
  <c r="P37" i="2"/>
  <c r="L37" i="2"/>
  <c r="K37" i="2"/>
  <c r="L36" i="2"/>
  <c r="K36" i="2"/>
  <c r="L35" i="2"/>
  <c r="K35" i="2"/>
  <c r="L34" i="2"/>
  <c r="K34" i="2"/>
  <c r="P33" i="2"/>
  <c r="L33" i="2"/>
  <c r="K33" i="2"/>
  <c r="H33" i="2"/>
  <c r="I33" i="2" s="1"/>
  <c r="L32" i="2"/>
  <c r="K32" i="2"/>
  <c r="L31" i="2"/>
  <c r="K31" i="2"/>
  <c r="L30" i="2"/>
  <c r="K30" i="2"/>
  <c r="P29" i="2"/>
  <c r="H29" i="2" s="1"/>
  <c r="I29" i="2" s="1"/>
  <c r="L29" i="2"/>
  <c r="K29" i="2"/>
  <c r="L28" i="2"/>
  <c r="K28" i="2"/>
  <c r="L27" i="2"/>
  <c r="K27" i="2"/>
  <c r="L26" i="2"/>
  <c r="K26" i="2"/>
  <c r="T25" i="2"/>
  <c r="P25" i="2"/>
  <c r="L25" i="2"/>
  <c r="K25" i="2"/>
  <c r="L24" i="2"/>
  <c r="K24" i="2"/>
  <c r="L23" i="2"/>
  <c r="K23" i="2"/>
  <c r="P22" i="2"/>
  <c r="L22" i="2"/>
  <c r="K22" i="2"/>
  <c r="H22" i="2"/>
  <c r="I22" i="2" s="1"/>
  <c r="L21" i="2"/>
  <c r="K21" i="2"/>
  <c r="L20" i="2"/>
  <c r="K20" i="2"/>
  <c r="L19" i="2"/>
  <c r="K19" i="2"/>
  <c r="P18" i="2"/>
  <c r="H18" i="2" s="1"/>
  <c r="I18" i="2" s="1"/>
  <c r="L18" i="2"/>
  <c r="K18" i="2"/>
  <c r="L17" i="2"/>
  <c r="K17" i="2"/>
  <c r="L16" i="2"/>
  <c r="K16" i="2"/>
  <c r="L15" i="2"/>
  <c r="K15" i="2"/>
  <c r="P14" i="2"/>
  <c r="L14" i="2"/>
  <c r="K14" i="2"/>
  <c r="I14" i="2"/>
  <c r="H15" i="2" s="1"/>
  <c r="I15" i="2" s="1"/>
  <c r="H14" i="2"/>
  <c r="L13" i="2"/>
  <c r="K13" i="2"/>
  <c r="L12" i="2"/>
  <c r="K12" i="2"/>
  <c r="L11" i="2"/>
  <c r="K11" i="2"/>
  <c r="P10" i="2"/>
  <c r="L10" i="2"/>
  <c r="K10" i="2"/>
  <c r="H10" i="2"/>
  <c r="I10" i="2" s="1"/>
  <c r="L9" i="2"/>
  <c r="K9" i="2"/>
  <c r="L8" i="2"/>
  <c r="K8" i="2"/>
  <c r="H8" i="2"/>
  <c r="I8" i="2" s="1"/>
  <c r="G8" i="2"/>
  <c r="L7" i="2"/>
  <c r="K7" i="2"/>
  <c r="I7" i="2"/>
  <c r="P6" i="2"/>
  <c r="H6" i="2" s="1"/>
  <c r="I6" i="2" s="1"/>
  <c r="G7" i="2" s="1"/>
  <c r="L6" i="2"/>
  <c r="K6" i="2"/>
  <c r="L5" i="2"/>
  <c r="K5" i="2"/>
  <c r="L4" i="2"/>
  <c r="K4" i="2"/>
  <c r="L3" i="2"/>
  <c r="K3" i="2"/>
  <c r="P2" i="2"/>
  <c r="L2" i="2"/>
  <c r="K2" i="2"/>
  <c r="H2" i="2"/>
  <c r="I2" i="2" s="1"/>
  <c r="H23" i="2" l="1"/>
  <c r="I23" i="2" s="1"/>
  <c r="G23" i="2"/>
  <c r="H42" i="2"/>
  <c r="I42" i="2" s="1"/>
  <c r="G42" i="2"/>
  <c r="H19" i="2"/>
  <c r="I19" i="2" s="1"/>
  <c r="G19" i="2"/>
  <c r="G11" i="2"/>
  <c r="H11" i="2"/>
  <c r="I11" i="2" s="1"/>
  <c r="H46" i="2"/>
  <c r="I46" i="2" s="1"/>
  <c r="G46" i="2"/>
  <c r="H34" i="2"/>
  <c r="I34" i="2" s="1"/>
  <c r="G34" i="2"/>
  <c r="H3" i="2"/>
  <c r="I3" i="2" s="1"/>
  <c r="G3" i="2"/>
  <c r="H30" i="2"/>
  <c r="I30" i="2" s="1"/>
  <c r="G30" i="2"/>
  <c r="H9" i="2"/>
  <c r="I9" i="2" s="1"/>
  <c r="T6" i="2" s="1"/>
  <c r="G9" i="2"/>
  <c r="H16" i="2"/>
  <c r="I16" i="2" s="1"/>
  <c r="G16" i="2"/>
  <c r="G15" i="2"/>
  <c r="K121" i="2"/>
  <c r="L131" i="2"/>
  <c r="K125" i="2"/>
  <c r="G12" i="2" l="1"/>
  <c r="H12" i="2"/>
  <c r="I12" i="2" s="1"/>
  <c r="G31" i="2"/>
  <c r="H31" i="2"/>
  <c r="I31" i="2" s="1"/>
  <c r="H4" i="2"/>
  <c r="I4" i="2" s="1"/>
  <c r="G4" i="2"/>
  <c r="H20" i="2"/>
  <c r="I20" i="2" s="1"/>
  <c r="G20" i="2"/>
  <c r="H17" i="2"/>
  <c r="I17" i="2" s="1"/>
  <c r="T14" i="2" s="1"/>
  <c r="G17" i="2"/>
  <c r="H35" i="2"/>
  <c r="I35" i="2" s="1"/>
  <c r="G35" i="2"/>
  <c r="H43" i="2"/>
  <c r="I43" i="2" s="1"/>
  <c r="G43" i="2"/>
  <c r="H47" i="2"/>
  <c r="I47" i="2" s="1"/>
  <c r="G47" i="2"/>
  <c r="H24" i="2"/>
  <c r="I24" i="2" s="1"/>
  <c r="T22" i="2" s="1"/>
  <c r="G24" i="2"/>
  <c r="H48" i="2" l="1"/>
  <c r="I48" i="2" s="1"/>
  <c r="T45" i="2" s="1"/>
  <c r="G48" i="2"/>
  <c r="G21" i="2"/>
  <c r="H21" i="2"/>
  <c r="I21" i="2" s="1"/>
  <c r="T18" i="2" s="1"/>
  <c r="H44" i="2"/>
  <c r="I44" i="2" s="1"/>
  <c r="T41" i="2" s="1"/>
  <c r="G44" i="2"/>
  <c r="H5" i="2"/>
  <c r="I5" i="2" s="1"/>
  <c r="T2" i="2" s="1"/>
  <c r="G5" i="2"/>
  <c r="H32" i="2"/>
  <c r="I32" i="2" s="1"/>
  <c r="T29" i="2" s="1"/>
  <c r="G32" i="2"/>
  <c r="H36" i="2"/>
  <c r="I36" i="2" s="1"/>
  <c r="T33" i="2" s="1"/>
  <c r="G36" i="2"/>
  <c r="H13" i="2"/>
  <c r="I13" i="2" s="1"/>
  <c r="T10" i="2" s="1"/>
  <c r="G13" i="2"/>
</calcChain>
</file>

<file path=xl/sharedStrings.xml><?xml version="1.0" encoding="utf-8"?>
<sst xmlns="http://schemas.openxmlformats.org/spreadsheetml/2006/main" count="2405" uniqueCount="508">
  <si>
    <t>Department</t>
  </si>
  <si>
    <t>Supplier</t>
  </si>
  <si>
    <t>Description</t>
  </si>
  <si>
    <t>Activity</t>
  </si>
  <si>
    <t>Days for completion</t>
  </si>
  <si>
    <t>Start date</t>
  </si>
  <si>
    <t>Start Date</t>
  </si>
  <si>
    <t>End date</t>
  </si>
  <si>
    <t>UCE</t>
  </si>
  <si>
    <t>Other</t>
  </si>
  <si>
    <t>IMAGING</t>
  </si>
  <si>
    <t>PRECLEAN MACHINE FOR PHOTO</t>
  </si>
  <si>
    <t>INSTALLATION</t>
  </si>
  <si>
    <t>-</t>
  </si>
  <si>
    <t>LEACHING</t>
  </si>
  <si>
    <t>CHEMICAL TRIALS</t>
  </si>
  <si>
    <t>TRAINING</t>
  </si>
  <si>
    <t>DES</t>
  </si>
  <si>
    <t>SOLDERMASK</t>
  </si>
  <si>
    <t>PRE CLEAN MACHINE SM</t>
  </si>
  <si>
    <t xml:space="preserve"> SM DEVELOPING </t>
  </si>
  <si>
    <t>ML PRESSING</t>
  </si>
  <si>
    <t>BOND FILM</t>
  </si>
  <si>
    <t>WET PROCESS</t>
  </si>
  <si>
    <t>DEBURRING LINE WITH ULTRASONIC CLEANING AND LOADER / UNLODER</t>
  </si>
  <si>
    <t>HOIST TYPE DESMEAR + PTH LINE</t>
  </si>
  <si>
    <t>VIAKING LINE FOR DIRECT METALIZATION WITH LOADER &amp; UNLOADER</t>
  </si>
  <si>
    <t>AUTOMATIC VCP PANEL PLATING LINE</t>
  </si>
  <si>
    <t>PLASMA DESMEAR MACHINE</t>
  </si>
  <si>
    <t>SURFACE FINISH</t>
  </si>
  <si>
    <t>FINAL CLEANING LINE</t>
  </si>
  <si>
    <t>OSP LINE</t>
  </si>
  <si>
    <t>DVCP PATTERN PLATING LINE</t>
  </si>
  <si>
    <t>DEBURR + DESMEAR + PTH MACHINE</t>
  </si>
  <si>
    <t xml:space="preserve">SES MACHINE </t>
  </si>
  <si>
    <t>INNER LAYER PRETREATMENT MACHINE</t>
  </si>
  <si>
    <t>INNER LAYER DES MACHINE</t>
  </si>
  <si>
    <t>DRY FILM DEVELOPER MACHINE</t>
  </si>
  <si>
    <t>SST PLATE CLEANING MACHINE</t>
  </si>
  <si>
    <t xml:space="preserve"> IMMERSION TIN </t>
  </si>
  <si>
    <t xml:space="preserve"> IMMERSION GOLD PRE-TREATMENT</t>
  </si>
  <si>
    <t>IMMERSION GOLD POST-TREATMENT</t>
  </si>
  <si>
    <t xml:space="preserve"> HAL PRE TREATMENT MACHINE </t>
  </si>
  <si>
    <t xml:space="preserve">HAL POS TTREATMENT MACHINE </t>
  </si>
  <si>
    <t>LDD BONDFILM MACHINE</t>
  </si>
  <si>
    <t>OXIDE REMOVAL MACHINE</t>
  </si>
  <si>
    <t>AOI</t>
  </si>
  <si>
    <t>CIMS</t>
  </si>
  <si>
    <t>AOI SCAN-1</t>
  </si>
  <si>
    <t>AOI SCAN-2</t>
  </si>
  <si>
    <t>AOI VERI-1</t>
  </si>
  <si>
    <t>AOI VERI-2</t>
  </si>
  <si>
    <t>AOI VERI-3</t>
  </si>
  <si>
    <t>AOI VERI-4</t>
  </si>
  <si>
    <t>AOI-TRAINING</t>
  </si>
  <si>
    <t>DYNACHEM</t>
  </si>
  <si>
    <t>DRY FILM LAMINATOR</t>
  </si>
  <si>
    <t>ALTIX</t>
  </si>
  <si>
    <t xml:space="preserve">  ALTIX</t>
  </si>
  <si>
    <t>SCHMOLL</t>
  </si>
  <si>
    <t xml:space="preserve">  MDI</t>
  </si>
  <si>
    <t>KEWEI</t>
  </si>
  <si>
    <t>SCREEN MAKING EQUIPMENT</t>
  </si>
  <si>
    <t>TAIYO</t>
  </si>
  <si>
    <t xml:space="preserve">SM PRINTING </t>
  </si>
  <si>
    <t>GP</t>
  </si>
  <si>
    <t xml:space="preserve">TACK DRYING OVEN </t>
  </si>
  <si>
    <t xml:space="preserve">ALTIX MACHINE EXPOSING  </t>
  </si>
  <si>
    <t xml:space="preserve">SCHMOLL MDI EXPOSING </t>
  </si>
  <si>
    <t>FINAL CURING OVENS</t>
  </si>
  <si>
    <t>LEGEND PRINTING - INKJET</t>
  </si>
  <si>
    <t>LEGEND PRINTING - MANUAL</t>
  </si>
  <si>
    <t>LAUFFER</t>
  </si>
  <si>
    <t>LAUFFER PRESS</t>
  </si>
  <si>
    <t>DRILLING</t>
  </si>
  <si>
    <t>CNC DRILLING-1</t>
  </si>
  <si>
    <t>CNC DRILLING-2</t>
  </si>
  <si>
    <t>CNC DRILLING-3</t>
  </si>
  <si>
    <t>CNC DRILLING-4</t>
  </si>
  <si>
    <t>CNC DRILLING-5</t>
  </si>
  <si>
    <t>CNC DRILLING-6</t>
  </si>
  <si>
    <t>CNC DRILLING-XRAY</t>
  </si>
  <si>
    <t>CNC DRILLING-T</t>
  </si>
  <si>
    <t>ROUTING</t>
  </si>
  <si>
    <t>ANDERSON</t>
  </si>
  <si>
    <t>CNC ROUTING-1</t>
  </si>
  <si>
    <t>CNC ROUTING-2</t>
  </si>
  <si>
    <t>CNC ROUTING-3</t>
  </si>
  <si>
    <t>CNC ROUTING-4</t>
  </si>
  <si>
    <t>CNC ROUTING-5</t>
  </si>
  <si>
    <t>CNC ROUTING-6</t>
  </si>
  <si>
    <t>CNC ROUTING-7</t>
  </si>
  <si>
    <t>CNC ROUTING-8</t>
  </si>
  <si>
    <t>CNC ROUTING-9</t>
  </si>
  <si>
    <t>CNC ROUTING-10</t>
  </si>
  <si>
    <t>CNC ROUTING-11</t>
  </si>
  <si>
    <t>CNC ROUTING-T</t>
  </si>
  <si>
    <t>PENTAGAL</t>
  </si>
  <si>
    <t>HASL</t>
  </si>
  <si>
    <t>SL No</t>
  </si>
  <si>
    <t>Machine</t>
  </si>
  <si>
    <t>Machine arrival date</t>
  </si>
  <si>
    <t xml:space="preserve">Installation start </t>
  </si>
  <si>
    <t>Installation end</t>
  </si>
  <si>
    <t>Remarks</t>
  </si>
  <si>
    <t>MEP Readiness</t>
  </si>
  <si>
    <t>Actual date</t>
  </si>
  <si>
    <t>CAM</t>
  </si>
  <si>
    <t>UCAMX License required by April 10th</t>
  </si>
  <si>
    <t>ARTWORK</t>
  </si>
  <si>
    <t>FILM PLOTTING</t>
  </si>
  <si>
    <t>Machine dispatch pending</t>
  </si>
  <si>
    <t>Photo imaging</t>
  </si>
  <si>
    <t>UCE-PHOTO</t>
  </si>
  <si>
    <t>UCE Dispatch pending</t>
  </si>
  <si>
    <t>ALTIX-PHOTO</t>
  </si>
  <si>
    <t>Artwork to be outsourced</t>
  </si>
  <si>
    <t>CNC Drilling</t>
  </si>
  <si>
    <t>WET process</t>
  </si>
  <si>
    <t>UCE-WET</t>
  </si>
  <si>
    <t>SM</t>
  </si>
  <si>
    <t>ALTIX-SM</t>
  </si>
  <si>
    <t>SCHMOLL-SM</t>
  </si>
  <si>
    <t>UCE-SM</t>
  </si>
  <si>
    <t>OVEN</t>
  </si>
  <si>
    <t>Machine not yet ordered</t>
  </si>
  <si>
    <t>SCREEN PRINTING</t>
  </si>
  <si>
    <t>Screen to be outsourced</t>
  </si>
  <si>
    <t xml:space="preserve">LEGEND </t>
  </si>
  <si>
    <t xml:space="preserve">CNC Routing </t>
  </si>
  <si>
    <t>Anderson</t>
  </si>
  <si>
    <t>SF</t>
  </si>
  <si>
    <t>UCE-SF</t>
  </si>
  <si>
    <t>BBT</t>
  </si>
  <si>
    <t>ATG</t>
  </si>
  <si>
    <t>TBD</t>
  </si>
  <si>
    <t>FI Readiness</t>
  </si>
  <si>
    <t>Target date</t>
  </si>
  <si>
    <t>Ware House</t>
  </si>
  <si>
    <t>Lab</t>
  </si>
  <si>
    <t>RM</t>
  </si>
  <si>
    <t>Collection tank</t>
  </si>
  <si>
    <t>Ready upto 350KL</t>
  </si>
  <si>
    <t>ETP</t>
  </si>
  <si>
    <t>RO and DI</t>
  </si>
  <si>
    <t>need to order</t>
  </si>
  <si>
    <t>Team Lead</t>
  </si>
  <si>
    <t>Primary</t>
  </si>
  <si>
    <t>Secondary</t>
  </si>
  <si>
    <t>Tertiary</t>
  </si>
  <si>
    <t>Quaternary</t>
  </si>
  <si>
    <t>Manpower count</t>
  </si>
  <si>
    <t>Manpower</t>
  </si>
  <si>
    <t>machine count</t>
  </si>
  <si>
    <t>Rithik S</t>
  </si>
  <si>
    <t>Karmugil P</t>
  </si>
  <si>
    <t>Mullaikumaran Saravanan</t>
  </si>
  <si>
    <t xml:space="preserve">Manoj </t>
  </si>
  <si>
    <t>Hariharan S</t>
  </si>
  <si>
    <t>Kathirvel S</t>
  </si>
  <si>
    <t>Vinoth V</t>
  </si>
  <si>
    <t>GANESH</t>
  </si>
  <si>
    <t>Ajith Kumar</t>
  </si>
  <si>
    <t>Santhoshkumar R</t>
  </si>
  <si>
    <t>Sakthivel Annadurai</t>
  </si>
  <si>
    <t>Chinnadurai Kandasamy</t>
  </si>
  <si>
    <t>AMAL</t>
  </si>
  <si>
    <t>Suthakar P</t>
  </si>
  <si>
    <t>Balamurugan Eswaramoorthy</t>
  </si>
  <si>
    <t>Boopathiajay</t>
  </si>
  <si>
    <t>Devis V</t>
  </si>
  <si>
    <t>Harjana Thindappa</t>
  </si>
  <si>
    <t>Suryaprakash M</t>
  </si>
  <si>
    <t>Kannan K R</t>
  </si>
  <si>
    <t>Rohit Pradhan</t>
  </si>
  <si>
    <t>Avinash B M</t>
  </si>
  <si>
    <t>Suresh Rathinam</t>
  </si>
  <si>
    <t>Viswasurya V</t>
  </si>
  <si>
    <t>Selvaraj V</t>
  </si>
  <si>
    <t>Thirumoorthy Selvaraj</t>
  </si>
  <si>
    <t>Soumya Ranjan Swain</t>
  </si>
  <si>
    <t>Adhithya Ponnupayan</t>
  </si>
  <si>
    <t>Mohan Raj M</t>
  </si>
  <si>
    <t>Santhosh P</t>
  </si>
  <si>
    <t>Sudhagar I</t>
  </si>
  <si>
    <t>Varshini D</t>
  </si>
  <si>
    <t>Hariharan R</t>
  </si>
  <si>
    <t>Shivan M</t>
  </si>
  <si>
    <t>Sanjay Kumar S</t>
  </si>
  <si>
    <t>Saravanan M</t>
  </si>
  <si>
    <t>Chandru D</t>
  </si>
  <si>
    <t xml:space="preserve">Prakash Sakthivel </t>
  </si>
  <si>
    <t>Arjunan R</t>
  </si>
  <si>
    <t>Ragul R</t>
  </si>
  <si>
    <t>Parthiban M</t>
  </si>
  <si>
    <t>Anil Kumar C</t>
  </si>
  <si>
    <t>KEERTHI</t>
  </si>
  <si>
    <t>Gokul D</t>
  </si>
  <si>
    <t>Vishnuram G</t>
  </si>
  <si>
    <t xml:space="preserve">Vignesh Dhakshnamoorthy </t>
  </si>
  <si>
    <t>Vengadesh M</t>
  </si>
  <si>
    <t>Nishanth P</t>
  </si>
  <si>
    <t>Ravi kumar Chaurasiya</t>
  </si>
  <si>
    <t>Dinesh D</t>
  </si>
  <si>
    <t>John peter S</t>
  </si>
  <si>
    <t>Mareeswaran R</t>
  </si>
  <si>
    <t>Ajith Kumar M</t>
  </si>
  <si>
    <t>CNC DRILLING</t>
  </si>
  <si>
    <t>Rajaselvan</t>
  </si>
  <si>
    <t>Pandiyan</t>
  </si>
  <si>
    <t>Tendulkar Venkatachalam</t>
  </si>
  <si>
    <t>Ashraf</t>
  </si>
  <si>
    <t>Nishesh</t>
  </si>
  <si>
    <t>Abishake M</t>
  </si>
  <si>
    <t>Vishakh</t>
  </si>
  <si>
    <t>Srinath</t>
  </si>
  <si>
    <t>CNC ROUTING</t>
  </si>
  <si>
    <t>Dhatchanamoorthy R</t>
  </si>
  <si>
    <t>ANAND</t>
  </si>
  <si>
    <t>Pradhap</t>
  </si>
  <si>
    <t>Amarnath  R</t>
  </si>
  <si>
    <t>Ajay</t>
  </si>
  <si>
    <t>Prasanth P</t>
  </si>
  <si>
    <t>Row Labels</t>
  </si>
  <si>
    <t>Manpower count1</t>
  </si>
  <si>
    <t>Machines</t>
  </si>
  <si>
    <t>Sum of machine count</t>
  </si>
  <si>
    <t>Count of Machines</t>
  </si>
  <si>
    <t>Grand Total</t>
  </si>
  <si>
    <t>(blank)</t>
  </si>
  <si>
    <t xml:space="preserve">Manpower Planning for installation </t>
  </si>
  <si>
    <t>Capex Set</t>
  </si>
  <si>
    <t>New Capex No</t>
  </si>
  <si>
    <t>Machine name</t>
  </si>
  <si>
    <t>Qty. of Machines</t>
  </si>
  <si>
    <t>Updated Supplier</t>
  </si>
  <si>
    <t>Priority</t>
  </si>
  <si>
    <t>Lead Time (in wks)</t>
  </si>
  <si>
    <t>Transit Time (wks)</t>
  </si>
  <si>
    <t>Total Lead Time (wks)</t>
  </si>
  <si>
    <t>Remarks/Inco Terms</t>
  </si>
  <si>
    <t>Status</t>
  </si>
  <si>
    <t>New</t>
  </si>
  <si>
    <t>Wet Process</t>
  </si>
  <si>
    <t>Copper Via Filling Line</t>
  </si>
  <si>
    <t>Under Finalisation</t>
  </si>
  <si>
    <t>Under Finalization</t>
  </si>
  <si>
    <t>WP (Final Finish)</t>
  </si>
  <si>
    <t xml:space="preserve">ENEPIG Line </t>
  </si>
  <si>
    <t>LAB Equipments</t>
  </si>
  <si>
    <t>Microscope for Defect Analysis</t>
  </si>
  <si>
    <t>Carl Zeiss</t>
  </si>
  <si>
    <t>EXW Sri-City (FTWZ)</t>
  </si>
  <si>
    <t>PO Released</t>
  </si>
  <si>
    <t>Legend</t>
  </si>
  <si>
    <t>Ink Jet Printer for Legend Printing</t>
  </si>
  <si>
    <t>Kewei, China</t>
  </si>
  <si>
    <t>Photo Plotting</t>
  </si>
  <si>
    <t>AOI Machine for Film Inspection with Installation &amp; Training</t>
  </si>
  <si>
    <t>CIMS, China</t>
  </si>
  <si>
    <t>FOB Shanghai</t>
  </si>
  <si>
    <t>X-Section Grinding (BAINPOL - VTD-8" ID - Double Disc Polisher</t>
  </si>
  <si>
    <t>Metco</t>
  </si>
  <si>
    <t>From Ambatur, Chennai</t>
  </si>
  <si>
    <t>Packing</t>
  </si>
  <si>
    <t>Water Wash Line</t>
  </si>
  <si>
    <t>FOB</t>
  </si>
  <si>
    <t>Horizontal Printer</t>
  </si>
  <si>
    <t>PISM</t>
  </si>
  <si>
    <t>Horizontal Printer - Automatic</t>
  </si>
  <si>
    <t>Universal BBT Tester</t>
  </si>
  <si>
    <t>Automations</t>
  </si>
  <si>
    <t>Loader &amp; Unloader systems for Horizontal Conveyorised equipments</t>
  </si>
  <si>
    <t>Box Oven</t>
  </si>
  <si>
    <t>Box Oven for Inner Layer Baking (With 6 Trey)</t>
  </si>
  <si>
    <t>May End</t>
  </si>
  <si>
    <t>PO released (Condition Payment within March)</t>
  </si>
  <si>
    <t>Via Filling (Plugging)</t>
  </si>
  <si>
    <t>Box Oven for Filled Via Curing</t>
  </si>
  <si>
    <t>Curing Oven (Box / Conveyrised) for Solder Mask Tack Dry</t>
  </si>
  <si>
    <t>Curing Oven (Box / Conveyrised) for Solder Mask Final Curing</t>
  </si>
  <si>
    <t>Microscope for PTH Coverage Check (Backlight test) --&gt; CKX 53 (Olympus</t>
  </si>
  <si>
    <t>I R Tech (Olympus)</t>
  </si>
  <si>
    <t>Microscope (1000x Magnification) --&gt; BX53M (Olympus)</t>
  </si>
  <si>
    <t xml:space="preserve">Hole AOI checker (Drill Shift, Cpk check) </t>
  </si>
  <si>
    <t>Hi Pot Tester</t>
  </si>
  <si>
    <t>Integrated Services &amp; Consultancy</t>
  </si>
  <si>
    <t>FOR Destination</t>
  </si>
  <si>
    <t xml:space="preserve">Via Filling Hole Inspection Machine </t>
  </si>
  <si>
    <t>Drill Ring Setting Machine</t>
  </si>
  <si>
    <t>Double Side Surface Grinding Machine with Loader &amp; Unloader</t>
  </si>
  <si>
    <t>CNC Routing</t>
  </si>
  <si>
    <t>V-Grooving Depth Checkler</t>
  </si>
  <si>
    <t>V-Grooving Machine (Jump Score)</t>
  </si>
  <si>
    <t>V-Grooving Machine (Multi Ctter Machine) 6 Top / 6 Bottom</t>
  </si>
  <si>
    <t>Ink Mixer</t>
  </si>
  <si>
    <t>Screen Room</t>
  </si>
  <si>
    <t>Screen Exposure</t>
  </si>
  <si>
    <t>Drying Oven</t>
  </si>
  <si>
    <t>Screen Stretching Unit</t>
  </si>
  <si>
    <t>Screen Coater Double Side</t>
  </si>
  <si>
    <t>Screen Washing Unit</t>
  </si>
  <si>
    <t>Screen Developing Unit</t>
  </si>
  <si>
    <t>Shearing</t>
  </si>
  <si>
    <t>Flash Routing Machine</t>
  </si>
  <si>
    <t>Film Punching Machine</t>
  </si>
  <si>
    <t>Film Laminator</t>
  </si>
  <si>
    <t>Corner Rounding Machine</t>
  </si>
  <si>
    <t>Motorised Shearing Machine</t>
  </si>
  <si>
    <t>Stack Pinning / De pinning Machine</t>
  </si>
  <si>
    <t>Roller Cutting Machine</t>
  </si>
  <si>
    <t>Edge Beveling Machine</t>
  </si>
  <si>
    <t>Laser Drill Hole Checker</t>
  </si>
  <si>
    <t>Zhengyee, China</t>
  </si>
  <si>
    <t>FOB China</t>
  </si>
  <si>
    <t>Vertical Printer</t>
  </si>
  <si>
    <t>Taiyo Circuit Tech</t>
  </si>
  <si>
    <t>Sample Cutting machine</t>
  </si>
  <si>
    <t>Vaccum Packing Machine</t>
  </si>
  <si>
    <t>Starpping Machine</t>
  </si>
  <si>
    <t>Wrapping Machine PVC Shrink Wrap</t>
  </si>
  <si>
    <t>UV Curing Machine for UV Bump prior to Surface Finish</t>
  </si>
  <si>
    <t>Solderability Testing Pot (Leaded &amp; Lead Free)</t>
  </si>
  <si>
    <t>Zhengyee Summit, China</t>
  </si>
  <si>
    <t>Ionic Contamination Tester</t>
  </si>
  <si>
    <t>XY Coordinator / Visual Inspection Machine</t>
  </si>
  <si>
    <t>Gel Timer</t>
  </si>
  <si>
    <t>Digital Viscometer</t>
  </si>
  <si>
    <t>PCB Thickness measurement unit</t>
  </si>
  <si>
    <t>Final Inspection</t>
  </si>
  <si>
    <t>Line Width Tester</t>
  </si>
  <si>
    <t>Magnifer Lens upto 10x for Final Inspection</t>
  </si>
  <si>
    <t>Lux Measuring Equipment</t>
  </si>
  <si>
    <t>Yellow Room (I/L &amp; O/L)</t>
  </si>
  <si>
    <t>Dust Particle Measurement Instrument for clean rooms</t>
  </si>
  <si>
    <t>UV Integrator</t>
  </si>
  <si>
    <t>Emery Paper Storage Racks</t>
  </si>
  <si>
    <t>Disc &amp; Cloth Storage Rack</t>
  </si>
  <si>
    <t>Specimen Storage Cabinet</t>
  </si>
  <si>
    <t>Technomat Pressure Polymerization Device</t>
  </si>
  <si>
    <t>Peel &amp; Pull Strength Tester</t>
  </si>
  <si>
    <t>Digital Inspection</t>
  </si>
  <si>
    <t>Digital Thickness Gauge  (CCL Cu thickness tester)</t>
  </si>
  <si>
    <t>Foldable Magnifier Lens (10x) for Final Inspection</t>
  </si>
  <si>
    <t>Foldable Magnifier lens (10x) with pointer and Scale</t>
  </si>
  <si>
    <t>Pencil Hardness Tester for SM</t>
  </si>
  <si>
    <t xml:space="preserve">Dual Digital temp. controlled solder station with hot air gun </t>
  </si>
  <si>
    <t>AVI Machine for Final Inspection</t>
  </si>
  <si>
    <t>CTS Industries Pte Ltd (Screen, Singapore)</t>
  </si>
  <si>
    <t>CIF Chennai</t>
  </si>
  <si>
    <t>XRF Instruments for Surface Coating Check</t>
  </si>
  <si>
    <t>Hitachi Hitech, Japan</t>
  </si>
  <si>
    <t>CMI Intrument for Online Hole Copper Checking Hand Held Unit</t>
  </si>
  <si>
    <t>CMI Equipments for Table Top Hole / Surface Copper Check</t>
  </si>
  <si>
    <t>CMI 165 - Handheld Surface Copper Guage</t>
  </si>
  <si>
    <t>Freight &amp; Insurnce (for XRF, Hitachi Hitech)</t>
  </si>
  <si>
    <t>AAS System for Chemical Analysis</t>
  </si>
  <si>
    <t>Agilent</t>
  </si>
  <si>
    <t>DDP</t>
  </si>
  <si>
    <t>LAB SET-UP (FURNITURE)</t>
  </si>
  <si>
    <t>Capex 2/2</t>
  </si>
  <si>
    <t>PCAT</t>
  </si>
  <si>
    <t>X-Ray Inspection Machine for Multi Layer PCBs</t>
  </si>
  <si>
    <t>Glenbrook Technology</t>
  </si>
  <si>
    <t>EXW New Jersey, US</t>
  </si>
  <si>
    <t xml:space="preserve">UV Spectrometer </t>
  </si>
  <si>
    <t>Toshvin, India</t>
  </si>
  <si>
    <t>Capex 1/2</t>
  </si>
  <si>
    <t>Done (Numbering Pending)</t>
  </si>
  <si>
    <t>Hull Cell system --&gt; New Capex with new line items to be created</t>
  </si>
  <si>
    <t>Komal Agencies</t>
  </si>
  <si>
    <t>Pending</t>
  </si>
  <si>
    <t>Utility</t>
  </si>
  <si>
    <t>SS Trolly for PCB Panel Movement</t>
  </si>
  <si>
    <t>ATX224R - Analytical Balance</t>
  </si>
  <si>
    <t xml:space="preserve">Precision Scientific </t>
  </si>
  <si>
    <t>ON HOLD</t>
  </si>
  <si>
    <t>UP823X - Unibloc Performance Balances</t>
  </si>
  <si>
    <t>10 MLH Plus - Magnetic Stirrer with Ceramic</t>
  </si>
  <si>
    <t>RDHO-80-Dry Hot Air Oven (80 Ltrs) with Temperature</t>
  </si>
  <si>
    <t>ECPH70042S - Bench Ph Meter</t>
  </si>
  <si>
    <t>LMUC6 - Digital Ultrasonic Cleaner 5 Ltrs</t>
  </si>
  <si>
    <t>HI98303 - Conductivity Meter Dist 3 Range 0 - 1990 micro-siemens</t>
  </si>
  <si>
    <t>HI98107 - Phep Waterproof Pocket Ph Tester</t>
  </si>
  <si>
    <t>Micro Pipette 1000 ul</t>
  </si>
  <si>
    <t>Micro pipette 20-200 ul</t>
  </si>
  <si>
    <t>Micro pipette 10-100 ul</t>
  </si>
  <si>
    <t>Laboratory Glasswares &amp; titration stands (1 Set)</t>
  </si>
  <si>
    <t>Mitutoyo Digital Vernier Caliper 0 -300 mm Inch LC 0.01 mm (HSN code: 90173010)</t>
  </si>
  <si>
    <t>BTSA</t>
  </si>
  <si>
    <t>Mitutoyo Digital Vernier Caliper 0-150 MM L C- 0.01mm (HSN code: 90173010)</t>
  </si>
  <si>
    <t>Mitutoyo Digital Depth Gauge 0-10mm (HSN code: 90173010)</t>
  </si>
  <si>
    <t>Raytek MT4 infrared thermometer temp -18 to 400 degree celcius (HSN code: 90318000)</t>
  </si>
  <si>
    <t>Stech Share A Durometer 0-100 Shore unit (HSN code: 90248091)</t>
  </si>
  <si>
    <t>Mitutoyo feeler Gauge set 0.05-1mm length 100mm (HSN code: 90318000)</t>
  </si>
  <si>
    <t>Mitutoyo Surface roughnesstester-SJ 220 (HSN code:90178000)</t>
  </si>
  <si>
    <t>Tenmars Make sound level meter measuring range 35-130dB (HSN code: 90318000)</t>
  </si>
  <si>
    <t>Tenmar Make Vibration tester 1mm to 5mm (HSN code: 90173010)</t>
  </si>
  <si>
    <t>Insize make Densitometer(HSN code: 90318000)</t>
  </si>
  <si>
    <t>Bow &amp; Twist Inspection Table &amp; Guage --&gt; Jafuji granite surface table with stand 630x630mm (HSN code:9038000)</t>
  </si>
  <si>
    <t>Mitutoyo digital outside micrometer 0-25mm LC 0.001 (90173010)</t>
  </si>
  <si>
    <t>Microgauges measuring pin dia 0.2 -0.5 step 0.01 (HSN code: 90173029)</t>
  </si>
  <si>
    <t>Jafuji Surface roughness meter stand(HSN code: 90318000)</t>
  </si>
  <si>
    <t>Jafuji Granite surface table woth stand 630x630mm (HSN code: 90318000)</t>
  </si>
  <si>
    <t>Kristeel steel rule 1000cm (HSN code: 90173010)</t>
  </si>
  <si>
    <t>Microgauges make Measuring Pin0.5-1.00 mm in step of 0.01mm (HSN code:90173029 )</t>
  </si>
  <si>
    <t>Microgauges make pin gauge Dia1.01-2.50 mm step 0.01mm (HSN code:90173029 )</t>
  </si>
  <si>
    <t>Microgauges Measuring pin rangedia 2.51-4.00 mm in step of 0.01mm (HSN Code:90173029)</t>
  </si>
  <si>
    <t>Microgauges Measuring pin rangedia 4.01-5.50 mm in step of 0.01mm (HSN code:90173029 )</t>
  </si>
  <si>
    <t>Microgauges Measuring pin rangedia 5.51-7.00 mm in step of 0.01mm (HSN code:90173029)</t>
  </si>
  <si>
    <t>Microgauges make pin gauge Dia7.01-8.00mm step 0.01mm (HSN code:90173029)</t>
  </si>
  <si>
    <t>Microgauges make pin gauge Dia0.5-4.00mm step 0.05mm (HSN code:90173029)</t>
  </si>
  <si>
    <t>Microgauges make pin gauge Dia4.05-8.00mm step 0.05mm (HSN code:90173029)</t>
  </si>
  <si>
    <t>Refrigerator for Lab Chemical storage --&gt; Bluestar VC325</t>
  </si>
  <si>
    <t>Amazon (Online)</t>
  </si>
  <si>
    <t xml:space="preserve">Electronic Platform Weighing Scale (100 kg capacity) - Make:  Microtek Smart </t>
  </si>
  <si>
    <t>LOCATION</t>
  </si>
  <si>
    <t>SHEARING</t>
  </si>
  <si>
    <t>PRE-CLEAN &amp; DES AREA</t>
  </si>
  <si>
    <t>IMAGING CLEAN 
ROOM AREA-8A,8B</t>
  </si>
  <si>
    <t>IMAGING CLEAN 
ROOM AREA-8</t>
  </si>
  <si>
    <t>ARTWORK CLEAN ROOM</t>
  </si>
  <si>
    <t>MLB</t>
  </si>
  <si>
    <t>COPPER PLATING AREA</t>
  </si>
  <si>
    <t>SM OVEN &amp; PRE-CLEAN AREA</t>
  </si>
  <si>
    <t>SM CLEAN ROOM AREA</t>
  </si>
  <si>
    <t>LP AREA</t>
  </si>
  <si>
    <t>SCREEN ROOM</t>
  </si>
  <si>
    <t>SURFACE FINISH AREA</t>
  </si>
  <si>
    <t xml:space="preserve">BBT </t>
  </si>
  <si>
    <t xml:space="preserve">FI </t>
  </si>
  <si>
    <t>CHEMICAL LAB</t>
  </si>
  <si>
    <t>PHYSICAL LAB</t>
  </si>
  <si>
    <t>PACKING</t>
  </si>
  <si>
    <t>Priority for secondary connections</t>
  </si>
  <si>
    <t>MACHINE DISPATCH STATUS</t>
  </si>
  <si>
    <t>AFTER ADVANCE PAYMENT</t>
  </si>
  <si>
    <t>20-05-2026-BATCH1</t>
  </si>
  <si>
    <t xml:space="preserve">ARRIVED </t>
  </si>
  <si>
    <t>ADVANCE PAYMENT DONE</t>
  </si>
  <si>
    <t>LAUFFER ARRIVED AND  
BF: 20-05-2026</t>
  </si>
  <si>
    <t>BATCH 1 ARRIVED</t>
  </si>
  <si>
    <t>20-05-2026-BATCH1 - UCE</t>
  </si>
  <si>
    <t>PENTA ARRIVED
20-05-2026-BATCH1- UCE</t>
  </si>
  <si>
    <t xml:space="preserve">ATG-ADVANCE PAYMENT DONE
BBT -ADVANCE NOT DONE
</t>
  </si>
  <si>
    <t>PAYMENT NOT DONE</t>
  </si>
  <si>
    <t>CHILLER UNIT MAIN SUPPLY</t>
  </si>
  <si>
    <t>NA</t>
  </si>
  <si>
    <r>
      <rPr>
        <b/>
        <strike/>
        <sz val="9"/>
        <color theme="1"/>
        <rFont val="Arial"/>
        <family val="2"/>
      </rPr>
      <t xml:space="preserve">10-06-2026/ 
20-06-2026/
</t>
    </r>
    <r>
      <rPr>
        <b/>
        <sz val="9"/>
        <color theme="1"/>
        <rFont val="Arial"/>
        <family val="2"/>
      </rPr>
      <t xml:space="preserve">Revised 
</t>
    </r>
    <r>
      <rPr>
        <b/>
        <strike/>
        <sz val="9"/>
        <color theme="1"/>
        <rFont val="Arial"/>
        <family val="2"/>
      </rPr>
      <t xml:space="preserve">30-06-2026
</t>
    </r>
    <r>
      <rPr>
        <b/>
        <sz val="9"/>
        <color theme="1"/>
        <rFont val="Arial"/>
        <family val="2"/>
      </rPr>
      <t>12-07-2026</t>
    </r>
    <r>
      <rPr>
        <b/>
        <strike/>
        <sz val="9"/>
        <color theme="1"/>
        <rFont val="Arial"/>
        <family val="2"/>
      </rPr>
      <t xml:space="preserve">
</t>
    </r>
  </si>
  <si>
    <t>FLOOR READINESS WITH EPOXY</t>
  </si>
  <si>
    <t>DONE</t>
  </si>
  <si>
    <t>Done</t>
  </si>
  <si>
    <r>
      <rPr>
        <b/>
        <strike/>
        <sz val="9"/>
        <color theme="1"/>
        <rFont val="Arial"/>
        <family val="2"/>
      </rPr>
      <t xml:space="preserve">30-05-2026
</t>
    </r>
    <r>
      <rPr>
        <b/>
        <sz val="9"/>
        <color theme="1"/>
        <rFont val="Arial"/>
        <family val="2"/>
      </rPr>
      <t>15-06-2026</t>
    </r>
  </si>
  <si>
    <t>CLEAN ROOM READINESS -READY FOR M/C ERECTION</t>
  </si>
  <si>
    <t>CLEAN ROOM READINESS -FINAL HANDOVER</t>
  </si>
  <si>
    <r>
      <t xml:space="preserve">30-06-2026
</t>
    </r>
    <r>
      <rPr>
        <b/>
        <sz val="9"/>
        <color theme="1"/>
        <rFont val="Arial"/>
        <family val="2"/>
      </rPr>
      <t>25-07-2026</t>
    </r>
  </si>
  <si>
    <r>
      <rPr>
        <b/>
        <strike/>
        <sz val="9"/>
        <color theme="1"/>
        <rFont val="Arial"/>
        <family val="2"/>
      </rPr>
      <t>30-06-2026</t>
    </r>
    <r>
      <rPr>
        <b/>
        <sz val="9"/>
        <color theme="1"/>
        <rFont val="Arial"/>
        <family val="2"/>
      </rPr>
      <t xml:space="preserve">
</t>
    </r>
    <r>
      <rPr>
        <b/>
        <strike/>
        <sz val="9"/>
        <color theme="1"/>
        <rFont val="Arial"/>
        <family val="2"/>
      </rPr>
      <t xml:space="preserve">08-07-2026
</t>
    </r>
    <r>
      <rPr>
        <b/>
        <sz val="9"/>
        <color theme="1"/>
        <rFont val="Arial"/>
        <family val="2"/>
      </rPr>
      <t>25-07-2026</t>
    </r>
  </si>
  <si>
    <r>
      <rPr>
        <b/>
        <strike/>
        <sz val="9"/>
        <color theme="1"/>
        <rFont val="Arial"/>
        <family val="2"/>
      </rPr>
      <t>30-06-2026</t>
    </r>
    <r>
      <rPr>
        <b/>
        <sz val="9"/>
        <color theme="1"/>
        <rFont val="Arial"/>
        <family val="2"/>
      </rPr>
      <t xml:space="preserve">
</t>
    </r>
    <r>
      <rPr>
        <b/>
        <strike/>
        <sz val="9"/>
        <color theme="1"/>
        <rFont val="Arial"/>
        <family val="2"/>
      </rPr>
      <t xml:space="preserve">04-07-2026
</t>
    </r>
    <r>
      <rPr>
        <b/>
        <sz val="9"/>
        <color theme="1"/>
        <rFont val="Arial"/>
        <family val="2"/>
      </rPr>
      <t>25-07-2026</t>
    </r>
  </si>
  <si>
    <r>
      <rPr>
        <b/>
        <strike/>
        <sz val="9"/>
        <color theme="1"/>
        <rFont val="Arial"/>
        <family val="2"/>
      </rPr>
      <t>30-06-2026</t>
    </r>
    <r>
      <rPr>
        <b/>
        <sz val="9"/>
        <color theme="1"/>
        <rFont val="Arial"/>
        <family val="2"/>
      </rPr>
      <t xml:space="preserve">
</t>
    </r>
    <r>
      <rPr>
        <b/>
        <strike/>
        <sz val="9"/>
        <color theme="1"/>
        <rFont val="Arial"/>
        <family val="2"/>
      </rPr>
      <t xml:space="preserve">12-07-2026
</t>
    </r>
    <r>
      <rPr>
        <b/>
        <sz val="9"/>
        <color theme="1"/>
        <rFont val="Arial"/>
        <family val="2"/>
      </rPr>
      <t>25-07-2026</t>
    </r>
  </si>
  <si>
    <t>AHU SYSTEM</t>
  </si>
  <si>
    <r>
      <rPr>
        <b/>
        <strike/>
        <sz val="9"/>
        <color theme="1"/>
        <rFont val="Arial"/>
        <family val="2"/>
      </rPr>
      <t>10-06-2026</t>
    </r>
    <r>
      <rPr>
        <b/>
        <sz val="9"/>
        <color theme="1"/>
        <rFont val="Arial"/>
        <family val="2"/>
      </rPr>
      <t xml:space="preserve">
</t>
    </r>
    <r>
      <rPr>
        <b/>
        <strike/>
        <sz val="9"/>
        <color theme="1"/>
        <rFont val="Arial"/>
        <family val="2"/>
      </rPr>
      <t xml:space="preserve">20-06-2026
</t>
    </r>
    <r>
      <rPr>
        <b/>
        <sz val="9"/>
        <color theme="1"/>
        <rFont val="Arial"/>
        <family val="2"/>
      </rPr>
      <t>Revised 
20-07-2026</t>
    </r>
  </si>
  <si>
    <t>PUFF PANEL PARTITION ERECTION AND READINESS</t>
  </si>
  <si>
    <r>
      <rPr>
        <b/>
        <strike/>
        <sz val="9"/>
        <color theme="1"/>
        <rFont val="Arial"/>
        <family val="2"/>
      </rPr>
      <t>6/20/2026</t>
    </r>
    <r>
      <rPr>
        <b/>
        <sz val="9"/>
        <color theme="1"/>
        <rFont val="Arial"/>
        <family val="2"/>
      </rPr>
      <t xml:space="preserve">
25/7/2026</t>
    </r>
  </si>
  <si>
    <t>25-06-2026
done</t>
  </si>
  <si>
    <r>
      <rPr>
        <b/>
        <strike/>
        <sz val="9"/>
        <color theme="1"/>
        <rFont val="Arial"/>
        <family val="2"/>
      </rPr>
      <t xml:space="preserve">6/20/2026
</t>
    </r>
    <r>
      <rPr>
        <b/>
        <sz val="9"/>
        <color theme="1"/>
        <rFont val="Arial"/>
        <family val="2"/>
      </rPr>
      <t>10/7/2026</t>
    </r>
  </si>
  <si>
    <r>
      <rPr>
        <b/>
        <strike/>
        <sz val="9"/>
        <color theme="1"/>
        <rFont val="Arial"/>
        <family val="2"/>
      </rPr>
      <t xml:space="preserve">6/20/2026
</t>
    </r>
    <r>
      <rPr>
        <b/>
        <sz val="9"/>
        <color theme="1"/>
        <rFont val="Arial"/>
        <family val="2"/>
      </rPr>
      <t xml:space="preserve">7/7/2026
</t>
    </r>
  </si>
  <si>
    <t>NO CLARITY</t>
  </si>
  <si>
    <r>
      <rPr>
        <b/>
        <strike/>
        <sz val="9"/>
        <color theme="1"/>
        <rFont val="Arial"/>
        <family val="2"/>
      </rPr>
      <t xml:space="preserve">7/4/2026
</t>
    </r>
    <r>
      <rPr>
        <b/>
        <sz val="9"/>
        <color theme="1"/>
        <rFont val="Arial"/>
        <family val="2"/>
      </rPr>
      <t>13/7/2026</t>
    </r>
  </si>
  <si>
    <r>
      <t xml:space="preserve">6/20/2026
</t>
    </r>
    <r>
      <rPr>
        <b/>
        <sz val="9"/>
        <color theme="1"/>
        <rFont val="Arial"/>
        <family val="2"/>
      </rPr>
      <t>7/7/2026</t>
    </r>
  </si>
  <si>
    <t>DUST COLLECTOR READINESS PRIMARY</t>
  </si>
  <si>
    <t>DUST COLLECTOR READINESS SECONDARY</t>
  </si>
  <si>
    <t>DURING MACHINE INSTALLATION</t>
  </si>
  <si>
    <t>FUME SCRUBBER READINESS</t>
  </si>
  <si>
    <t>COMPRESSED AIR SYSTEM-PRIMARY CONNECTIONS</t>
  </si>
  <si>
    <r>
      <rPr>
        <b/>
        <strike/>
        <sz val="9"/>
        <color theme="1"/>
        <rFont val="Arial"/>
        <family val="2"/>
      </rPr>
      <t>10-06-2026
15-06-2026</t>
    </r>
    <r>
      <rPr>
        <b/>
        <sz val="9"/>
        <color theme="1"/>
        <rFont val="Arial"/>
        <family val="2"/>
      </rPr>
      <t xml:space="preserve">
DONE</t>
    </r>
  </si>
  <si>
    <t>COMPRESSED AIR SYSTEM-SECONDARY CONNECTIONS</t>
  </si>
  <si>
    <r>
      <rPr>
        <b/>
        <strike/>
        <sz val="9"/>
        <color theme="1"/>
        <rFont val="Arial"/>
        <family val="2"/>
      </rPr>
      <t xml:space="preserve">05-07-2026
</t>
    </r>
    <r>
      <rPr>
        <b/>
        <sz val="9"/>
        <color theme="1"/>
        <rFont val="Arial"/>
        <family val="2"/>
      </rPr>
      <t>20-07-2026</t>
    </r>
  </si>
  <si>
    <t>CHILLER READINESS- PRIMARY CONNECTION</t>
  </si>
  <si>
    <r>
      <rPr>
        <b/>
        <strike/>
        <sz val="9"/>
        <color theme="1"/>
        <rFont val="Arial"/>
        <family val="2"/>
      </rPr>
      <t xml:space="preserve">10-06-2026/ 
20-06-2026/
</t>
    </r>
    <r>
      <rPr>
        <b/>
        <sz val="9"/>
        <color theme="1"/>
        <rFont val="Arial"/>
        <family val="2"/>
      </rPr>
      <t>Revised 
30-06-2026</t>
    </r>
    <r>
      <rPr>
        <b/>
        <strike/>
        <sz val="9"/>
        <color theme="1"/>
        <rFont val="Arial"/>
        <family val="2"/>
      </rPr>
      <t xml:space="preserve">
</t>
    </r>
  </si>
  <si>
    <t>CHILLER READINESS-SECONDARY CONNECTION</t>
  </si>
  <si>
    <r>
      <t xml:space="preserve">05-07-2026
</t>
    </r>
    <r>
      <rPr>
        <b/>
        <sz val="9"/>
        <color theme="1"/>
        <rFont val="Arial"/>
        <family val="2"/>
      </rPr>
      <t>20-07-2026 with water</t>
    </r>
  </si>
  <si>
    <t>ELECTRICAL POWER-PRIMARY CONNECTION</t>
  </si>
  <si>
    <t>10-06-2026
done</t>
  </si>
  <si>
    <t>ELECTRICAL POWER- SECONDARY  CONNECTION</t>
  </si>
  <si>
    <t>DG</t>
  </si>
  <si>
    <r>
      <rPr>
        <b/>
        <strike/>
        <sz val="9"/>
        <color theme="1"/>
        <rFont val="Arial"/>
        <family val="2"/>
      </rPr>
      <t xml:space="preserve">30-05-2026
10-06-2026
</t>
    </r>
    <r>
      <rPr>
        <b/>
        <sz val="9"/>
        <color theme="1"/>
        <rFont val="Arial"/>
        <family val="2"/>
      </rPr>
      <t>15-06-2026 done</t>
    </r>
  </si>
  <si>
    <t>DI &amp; RO WATER SUPPLY PRIMARY CONNECTIONS</t>
  </si>
  <si>
    <r>
      <rPr>
        <b/>
        <strike/>
        <sz val="9"/>
        <color theme="1"/>
        <rFont val="Arial"/>
        <family val="2"/>
      </rPr>
      <t>31-05-2026</t>
    </r>
    <r>
      <rPr>
        <b/>
        <sz val="9"/>
        <color theme="1"/>
        <rFont val="Arial"/>
        <family val="2"/>
      </rPr>
      <t xml:space="preserve">
REVISED 
26-06-2026
done</t>
    </r>
  </si>
  <si>
    <t>31-05-2026
done</t>
  </si>
  <si>
    <t>DI &amp; RO WATER SUPPLY SECONDARY CONNECTIONS</t>
  </si>
  <si>
    <t>FIRE FIGHTING SYSTEM</t>
  </si>
  <si>
    <t>DEPENDS ON PUFF PANEL</t>
  </si>
  <si>
    <r>
      <rPr>
        <b/>
        <strike/>
        <sz val="9"/>
        <color theme="1"/>
        <rFont val="Arial"/>
        <family val="2"/>
      </rPr>
      <t xml:space="preserve">20-05-2026/ 30-05-2026
</t>
    </r>
    <r>
      <rPr>
        <b/>
        <sz val="9"/>
        <color theme="1"/>
        <rFont val="Arial"/>
        <family val="2"/>
      </rPr>
      <t>10-06-2026- done</t>
    </r>
  </si>
  <si>
    <r>
      <rPr>
        <b/>
        <strike/>
        <sz val="9"/>
        <color theme="1"/>
        <rFont val="Arial"/>
        <family val="2"/>
      </rPr>
      <t>30-05-2026</t>
    </r>
    <r>
      <rPr>
        <b/>
        <sz val="9"/>
        <color theme="1"/>
        <rFont val="Arial"/>
        <family val="2"/>
      </rPr>
      <t xml:space="preserve">
10-06-2026
done</t>
    </r>
  </si>
  <si>
    <r>
      <rPr>
        <b/>
        <strike/>
        <sz val="9"/>
        <color theme="1"/>
        <rFont val="Arial"/>
        <family val="2"/>
      </rPr>
      <t>30-05-2026</t>
    </r>
    <r>
      <rPr>
        <b/>
        <sz val="9"/>
        <color theme="1"/>
        <rFont val="Arial"/>
        <family val="2"/>
      </rPr>
      <t xml:space="preserve">
10-06-2026 done</t>
    </r>
  </si>
  <si>
    <t>ETP DRAIN CONNECTION READINESS</t>
  </si>
  <si>
    <r>
      <rPr>
        <b/>
        <strike/>
        <sz val="9"/>
        <color theme="1"/>
        <rFont val="Arial"/>
        <family val="2"/>
      </rPr>
      <t>20-05-2026/ revised 28-05-2026</t>
    </r>
    <r>
      <rPr>
        <b/>
        <sz val="9"/>
        <color theme="1"/>
        <rFont val="Arial"/>
        <family val="2"/>
      </rPr>
      <t xml:space="preserve"> : DONE</t>
    </r>
  </si>
  <si>
    <t>IT INFRA</t>
  </si>
  <si>
    <t>27-07-2026 T
27-08-2026 P</t>
  </si>
  <si>
    <t>06-07-2026 T
06-08-2026 P</t>
  </si>
  <si>
    <t>13-07-2026 T
13-08-2026 P</t>
  </si>
  <si>
    <t>07-07-2026 T
07-08-2026 P</t>
  </si>
  <si>
    <t>15-07-2026 T
15-08-2026 P</t>
  </si>
  <si>
    <t>20-07-2026 T
20-08-2026 P</t>
  </si>
  <si>
    <t>11-07-2026 T
11-08-2026 P</t>
  </si>
  <si>
    <t>DEPT READY FOR INSTALLATION</t>
  </si>
  <si>
    <t>Key</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</si>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</sst>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sz val="11"/>
      <color theme="1"/>
      <name val="Palatino Linotype"/>
      <family val="1"/>
    </font>
    <font>
      <sz val="12"/>
      <color theme="0"/>
      <name val="Calibri"/>
      <family val="2"/>
      <scheme val="minor"/>
    </font>
    <font>
      <sz val="11"/>
      <color rgb="FF000000"/>
      <name val="Palatino Linotype"/>
      <family val="1"/>
    </font>
    <font>
      <sz val="10"/>
      <name val="Palatino Linotype"/>
      <family val="1"/>
    </font>
    <font>
      <sz val="10"/>
      <color rgb="FF000000"/>
      <name val="Palatino Linotype"/>
      <family val="1"/>
    </font>
    <font>
      <b/>
      <sz val="16"/>
      <color theme="1"/>
      <name val="Calibri"/>
      <family val="2"/>
      <scheme val="minor"/>
    </font>
    <font>
      <sz val="10"/>
      <name val="Arial"/>
      <family val="2"/>
    </font>
    <font>
      <sz val="12"/>
      <name val="Arial"/>
      <family val="2"/>
    </font>
    <font>
      <sz val="10"/>
      <color theme="1"/>
      <name val="Arial"/>
      <family val="2"/>
    </font>
    <font>
      <b/>
      <sz val="11"/>
      <name val="Calibri"/>
      <family val="2"/>
      <scheme val="minor"/>
    </font>
    <font>
      <sz val="12"/>
      <color theme="1"/>
      <name val="Arial"/>
      <family val="2"/>
    </font>
    <font>
      <sz val="10"/>
      <color theme="1"/>
      <name val="Calibri"/>
      <family val="2"/>
      <scheme val="minor"/>
    </font>
    <font>
      <sz val="11"/>
      <name val="Calibri"/>
      <family val="2"/>
      <scheme val="minor"/>
    </font>
    <font>
      <sz val="10"/>
      <color rgb="FF000000"/>
      <name val="Calibri"/>
      <family val="2"/>
      <scheme val="minor"/>
    </font>
    <font>
      <sz val="10"/>
      <name val="Calibri"/>
      <family val="2"/>
      <scheme val="minor"/>
    </font>
    <font>
      <sz val="12"/>
      <color rgb="FF000000"/>
      <name val="Arial"/>
      <family val="2"/>
    </font>
    <font>
      <sz val="10"/>
      <color rgb="FFFF0000"/>
      <name val="Arial"/>
      <family val="2"/>
    </font>
    <font>
      <b/>
      <sz val="10"/>
      <color theme="1"/>
      <name val="Arial"/>
      <family val="2"/>
    </font>
    <font>
      <b/>
      <sz val="14"/>
      <color theme="0"/>
      <name val="Calibri"/>
      <family val="2"/>
      <scheme val="minor"/>
    </font>
    <font>
      <b/>
      <sz val="9"/>
      <color theme="1"/>
      <name val="Arial"/>
      <family val="2"/>
    </font>
    <font>
      <b/>
      <strike/>
      <sz val="9"/>
      <color theme="1"/>
      <name val="Arial"/>
      <family val="2"/>
    </font>
    <font>
      <sz val="8"/>
      <color theme="1"/>
      <name val="Calibri"/>
      <family val="2"/>
      <scheme val="minor"/>
    </font>
  </fonts>
  <fills count="14">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theme="0"/>
      </patternFill>
    </fill>
    <fill>
      <patternFill patternType="solid">
        <fgColor rgb="FFFF000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5">
    <xf numFmtId="0" fontId="0" fillId="0" borderId="0"/>
    <xf numFmtId="0" fontId="5" fillId="0" borderId="0"/>
    <xf numFmtId="0" fontId="1" fillId="0" borderId="0"/>
    <xf numFmtId="0" fontId="5" fillId="0" borderId="0"/>
    <xf numFmtId="0" fontId="1" fillId="0" borderId="0"/>
  </cellStyleXfs>
  <cellXfs count="153">
    <xf numFmtId="0" fontId="0" fillId="0" borderId="0" xfId="0"/>
    <xf numFmtId="0" fontId="6" fillId="0" borderId="0" xfId="1" applyFont="1" applyAlignment="1">
      <alignment horizontal="center" vertical="center"/>
    </xf>
    <xf numFmtId="0" fontId="6" fillId="2" borderId="1" xfId="1" applyFont="1" applyFill="1" applyBorder="1" applyAlignment="1">
      <alignment horizontal="center" vertical="center"/>
    </xf>
    <xf numFmtId="0" fontId="7" fillId="0" borderId="0" xfId="1" applyFont="1" applyAlignment="1">
      <alignment horizontal="center" vertical="center"/>
    </xf>
    <xf numFmtId="0" fontId="5" fillId="0" borderId="0" xfId="1"/>
    <xf numFmtId="0" fontId="8" fillId="3" borderId="1" xfId="2" applyFont="1" applyFill="1" applyBorder="1" applyAlignment="1">
      <alignment horizontal="left" vertical="center"/>
    </xf>
    <xf numFmtId="1" fontId="8" fillId="3" borderId="1" xfId="2" applyNumberFormat="1" applyFont="1" applyFill="1" applyBorder="1" applyAlignment="1">
      <alignment horizontal="left" vertical="center"/>
    </xf>
    <xf numFmtId="22" fontId="8" fillId="3" borderId="1" xfId="2" applyNumberFormat="1" applyFont="1" applyFill="1" applyBorder="1" applyAlignment="1">
      <alignment horizontal="center" vertical="center"/>
    </xf>
    <xf numFmtId="22" fontId="9" fillId="0" borderId="0" xfId="1" applyNumberFormat="1" applyFont="1"/>
    <xf numFmtId="0" fontId="9" fillId="0" borderId="0" xfId="1" applyFont="1"/>
    <xf numFmtId="2" fontId="5" fillId="0" borderId="0" xfId="1" applyNumberFormat="1"/>
    <xf numFmtId="1" fontId="10" fillId="3" borderId="1" xfId="2" applyNumberFormat="1" applyFont="1" applyFill="1" applyBorder="1" applyAlignment="1">
      <alignment horizontal="left" vertical="center" wrapText="1"/>
    </xf>
    <xf numFmtId="0" fontId="5" fillId="3" borderId="1" xfId="1" applyFill="1" applyBorder="1" applyAlignment="1">
      <alignment horizontal="left"/>
    </xf>
    <xf numFmtId="1" fontId="8" fillId="3" borderId="1" xfId="2" applyNumberFormat="1" applyFont="1" applyFill="1" applyBorder="1" applyAlignment="1">
      <alignment horizontal="center" vertical="center"/>
    </xf>
    <xf numFmtId="22" fontId="5" fillId="0" borderId="0" xfId="1" applyNumberFormat="1"/>
    <xf numFmtId="0" fontId="10" fillId="3" borderId="1" xfId="2" applyFont="1" applyFill="1" applyBorder="1" applyAlignment="1">
      <alignment horizontal="left" vertical="center" wrapText="1"/>
    </xf>
    <xf numFmtId="0" fontId="5" fillId="0" borderId="2" xfId="1" applyBorder="1" applyAlignment="1">
      <alignment horizontal="center"/>
    </xf>
    <xf numFmtId="0" fontId="5" fillId="0" borderId="3" xfId="1" applyBorder="1" applyAlignment="1">
      <alignment horizontal="center"/>
    </xf>
    <xf numFmtId="0" fontId="5" fillId="0" borderId="4" xfId="1" applyBorder="1" applyAlignment="1">
      <alignment horizontal="center"/>
    </xf>
    <xf numFmtId="0" fontId="5" fillId="0" borderId="0" xfId="1" applyAlignment="1">
      <alignment horizontal="center"/>
    </xf>
    <xf numFmtId="0" fontId="5" fillId="0" borderId="5" xfId="1" applyBorder="1" applyAlignment="1">
      <alignment horizontal="center"/>
    </xf>
    <xf numFmtId="0" fontId="5" fillId="0" borderId="6" xfId="1" applyBorder="1"/>
    <xf numFmtId="0" fontId="5" fillId="0" borderId="6" xfId="1" applyBorder="1" applyAlignment="1">
      <alignment horizontal="center"/>
    </xf>
    <xf numFmtId="14" fontId="5" fillId="0" borderId="6" xfId="1" applyNumberFormat="1" applyBorder="1" applyAlignment="1">
      <alignment horizontal="center"/>
    </xf>
    <xf numFmtId="0" fontId="5" fillId="0" borderId="7" xfId="1" applyBorder="1"/>
    <xf numFmtId="0" fontId="6" fillId="0" borderId="7" xfId="1" applyFont="1" applyBorder="1"/>
    <xf numFmtId="0" fontId="5" fillId="4" borderId="7" xfId="1" applyFill="1" applyBorder="1"/>
    <xf numFmtId="0" fontId="5" fillId="0" borderId="8" xfId="1" applyBorder="1"/>
    <xf numFmtId="0" fontId="5" fillId="0" borderId="8" xfId="1" applyBorder="1" applyAlignment="1">
      <alignment horizontal="center"/>
    </xf>
    <xf numFmtId="14" fontId="5" fillId="0" borderId="8" xfId="1" applyNumberFormat="1" applyBorder="1" applyAlignment="1">
      <alignment horizontal="center"/>
    </xf>
    <xf numFmtId="0" fontId="5" fillId="4" borderId="9" xfId="1" applyFill="1" applyBorder="1"/>
    <xf numFmtId="0" fontId="5" fillId="0" borderId="0" xfId="1" applyBorder="1" applyAlignment="1">
      <alignment horizontal="center"/>
    </xf>
    <xf numFmtId="0" fontId="5" fillId="0" borderId="0" xfId="1" applyBorder="1"/>
    <xf numFmtId="0" fontId="6" fillId="2" borderId="1" xfId="3" applyFont="1" applyFill="1" applyBorder="1" applyAlignment="1">
      <alignment horizontal="center" vertical="center"/>
    </xf>
    <xf numFmtId="0" fontId="6" fillId="2" borderId="10" xfId="3" applyFont="1" applyFill="1" applyBorder="1" applyAlignment="1">
      <alignment horizontal="center" vertical="center"/>
    </xf>
    <xf numFmtId="0" fontId="8" fillId="3" borderId="1" xfId="2" applyFont="1" applyFill="1" applyBorder="1" applyAlignment="1">
      <alignment vertical="center"/>
    </xf>
    <xf numFmtId="1" fontId="10" fillId="3" borderId="1" xfId="2" applyNumberFormat="1" applyFont="1" applyFill="1" applyBorder="1" applyAlignment="1">
      <alignment horizontal="center" vertical="center" wrapText="1"/>
    </xf>
    <xf numFmtId="0" fontId="0" fillId="0" borderId="0" xfId="0" applyAlignment="1">
      <alignment horizontal="left"/>
    </xf>
    <xf numFmtId="0" fontId="0" fillId="0" borderId="0" xfId="0" applyFill="1" applyBorder="1"/>
    <xf numFmtId="0" fontId="11" fillId="0" borderId="1" xfId="4" applyFont="1" applyFill="1" applyBorder="1" applyAlignment="1">
      <alignment horizontal="left"/>
    </xf>
    <xf numFmtId="0" fontId="5" fillId="3" borderId="1" xfId="3" applyFill="1" applyBorder="1" applyAlignment="1">
      <alignment horizontal="left"/>
    </xf>
    <xf numFmtId="0" fontId="11" fillId="0" borderId="0" xfId="4" applyFont="1" applyFill="1" applyBorder="1" applyAlignment="1">
      <alignment horizontal="left"/>
    </xf>
    <xf numFmtId="0" fontId="12" fillId="5" borderId="0" xfId="0" applyFont="1" applyFill="1" applyBorder="1" applyAlignment="1">
      <alignment horizontal="left" vertical="center"/>
    </xf>
    <xf numFmtId="0" fontId="0" fillId="0" borderId="0" xfId="0" applyAlignment="1"/>
    <xf numFmtId="0" fontId="0" fillId="0" borderId="0" xfId="0" applyAlignment="1">
      <alignment horizontal="center"/>
    </xf>
    <xf numFmtId="0" fontId="0" fillId="0" borderId="0" xfId="0" applyNumberFormat="1"/>
    <xf numFmtId="0" fontId="0" fillId="0" borderId="0" xfId="0" pivotButton="1"/>
    <xf numFmtId="0" fontId="0" fillId="6" borderId="9" xfId="0" applyFill="1" applyBorder="1"/>
    <xf numFmtId="0" fontId="0" fillId="6" borderId="11" xfId="0" applyFill="1" applyBorder="1"/>
    <xf numFmtId="0" fontId="0" fillId="6" borderId="12" xfId="0" applyFill="1" applyBorder="1"/>
    <xf numFmtId="0" fontId="0" fillId="6" borderId="13" xfId="0" applyFill="1" applyBorder="1"/>
    <xf numFmtId="0" fontId="0" fillId="6" borderId="0" xfId="0" applyFill="1" applyBorder="1"/>
    <xf numFmtId="0" fontId="13" fillId="2" borderId="9" xfId="0" applyFont="1" applyFill="1" applyBorder="1" applyAlignment="1">
      <alignment horizontal="center" vertical="center"/>
    </xf>
    <xf numFmtId="0" fontId="13" fillId="2" borderId="11" xfId="0" applyFont="1" applyFill="1" applyBorder="1" applyAlignment="1">
      <alignment horizontal="center" vertical="center"/>
    </xf>
    <xf numFmtId="0" fontId="13" fillId="2" borderId="12" xfId="0" applyFont="1" applyFill="1" applyBorder="1" applyAlignment="1">
      <alignment horizontal="center" vertical="center"/>
    </xf>
    <xf numFmtId="0" fontId="0" fillId="6" borderId="14" xfId="0" applyFill="1" applyBorder="1"/>
    <xf numFmtId="0" fontId="13" fillId="2" borderId="4" xfId="0" applyFont="1" applyFill="1" applyBorder="1" applyAlignment="1">
      <alignment horizontal="center" vertical="center"/>
    </xf>
    <xf numFmtId="0" fontId="13" fillId="2" borderId="15" xfId="0" applyFont="1" applyFill="1" applyBorder="1" applyAlignment="1">
      <alignment horizontal="center" vertical="center"/>
    </xf>
    <xf numFmtId="0" fontId="13" fillId="2" borderId="2" xfId="0" applyFont="1" applyFill="1" applyBorder="1" applyAlignment="1">
      <alignment horizontal="center" vertical="center"/>
    </xf>
    <xf numFmtId="0" fontId="0" fillId="6" borderId="4" xfId="0" applyFill="1" applyBorder="1"/>
    <xf numFmtId="0" fontId="0" fillId="6" borderId="15" xfId="0" applyFill="1" applyBorder="1"/>
    <xf numFmtId="0" fontId="0" fillId="6" borderId="2" xfId="0" applyFill="1" applyBorder="1"/>
    <xf numFmtId="0" fontId="4" fillId="0" borderId="16" xfId="0" applyFont="1" applyBorder="1" applyAlignment="1">
      <alignment horizontal="center" vertical="center" wrapText="1"/>
    </xf>
    <xf numFmtId="0" fontId="4" fillId="7" borderId="16" xfId="0" applyFont="1" applyFill="1" applyBorder="1" applyAlignment="1">
      <alignment horizontal="center" vertical="center" wrapText="1"/>
    </xf>
    <xf numFmtId="0" fontId="4" fillId="0" borderId="0" xfId="0" applyFont="1" applyAlignment="1">
      <alignment horizontal="center" vertical="center" wrapText="1"/>
    </xf>
    <xf numFmtId="0" fontId="4" fillId="8" borderId="1" xfId="0" applyFont="1" applyFill="1" applyBorder="1" applyAlignment="1">
      <alignment horizontal="center" vertical="center" wrapText="1"/>
    </xf>
    <xf numFmtId="0" fontId="0" fillId="0" borderId="1" xfId="0" applyBorder="1" applyAlignment="1">
      <alignment horizontal="center"/>
    </xf>
    <xf numFmtId="0" fontId="14" fillId="9" borderId="1" xfId="0" applyFont="1" applyFill="1" applyBorder="1" applyAlignment="1">
      <alignment horizontal="left" vertical="center"/>
    </xf>
    <xf numFmtId="0" fontId="15" fillId="0" borderId="1" xfId="0" applyFont="1" applyBorder="1" applyAlignment="1">
      <alignment vertical="center" wrapText="1"/>
    </xf>
    <xf numFmtId="0" fontId="16" fillId="0" borderId="1" xfId="0" applyFont="1" applyBorder="1" applyAlignment="1">
      <alignment horizontal="center" vertical="center"/>
    </xf>
    <xf numFmtId="0" fontId="16" fillId="0" borderId="1" xfId="0" applyFont="1" applyBorder="1" applyAlignment="1">
      <alignment horizontal="left" vertical="center"/>
    </xf>
    <xf numFmtId="0" fontId="0" fillId="0" borderId="1" xfId="0" applyBorder="1"/>
    <xf numFmtId="0" fontId="17" fillId="10" borderId="1" xfId="0" applyFont="1" applyFill="1" applyBorder="1"/>
    <xf numFmtId="0" fontId="0" fillId="0" borderId="1" xfId="0" applyBorder="1" applyAlignment="1">
      <alignment horizontal="left"/>
    </xf>
    <xf numFmtId="0" fontId="18" fillId="9" borderId="1" xfId="0" applyFont="1" applyFill="1" applyBorder="1" applyAlignment="1">
      <alignment horizontal="left" vertical="center"/>
    </xf>
    <xf numFmtId="0" fontId="18" fillId="0" borderId="1" xfId="0" applyFont="1" applyBorder="1" applyAlignment="1">
      <alignment horizontal="center" vertical="center"/>
    </xf>
    <xf numFmtId="0" fontId="19" fillId="0" borderId="1" xfId="0" applyFont="1" applyBorder="1" applyAlignment="1">
      <alignment horizontal="left" vertical="center"/>
    </xf>
    <xf numFmtId="0" fontId="4" fillId="11" borderId="1" xfId="0" applyFont="1" applyFill="1" applyBorder="1"/>
    <xf numFmtId="0" fontId="20" fillId="0" borderId="1" xfId="0" applyFont="1" applyBorder="1" applyAlignment="1">
      <alignment horizontal="center" vertical="center"/>
    </xf>
    <xf numFmtId="0" fontId="20" fillId="0" borderId="1" xfId="0" applyFont="1" applyBorder="1" applyAlignment="1">
      <alignment horizontal="left" vertical="center"/>
    </xf>
    <xf numFmtId="0" fontId="14" fillId="0" borderId="1" xfId="0" applyFont="1" applyBorder="1" applyAlignment="1">
      <alignment horizontal="left" vertical="center"/>
    </xf>
    <xf numFmtId="0" fontId="14" fillId="0" borderId="1" xfId="0" applyFont="1" applyBorder="1" applyAlignment="1">
      <alignment vertical="center"/>
    </xf>
    <xf numFmtId="0" fontId="14" fillId="0" borderId="1" xfId="0" applyFont="1" applyBorder="1" applyAlignment="1">
      <alignment horizontal="center" vertical="center"/>
    </xf>
    <xf numFmtId="0" fontId="17" fillId="11" borderId="1" xfId="0" applyFont="1" applyFill="1" applyBorder="1"/>
    <xf numFmtId="0" fontId="16" fillId="9" borderId="1" xfId="0" applyFont="1" applyFill="1" applyBorder="1" applyAlignment="1">
      <alignment horizontal="left" vertical="center"/>
    </xf>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horizontal="left" vertical="center"/>
    </xf>
    <xf numFmtId="0" fontId="21" fillId="0" borderId="1" xfId="0" applyFont="1" applyBorder="1" applyAlignment="1">
      <alignment horizontal="left" vertical="center"/>
    </xf>
    <xf numFmtId="0" fontId="22" fillId="0" borderId="1" xfId="0" applyFont="1" applyBorder="1" applyAlignment="1">
      <alignment vertical="center"/>
    </xf>
    <xf numFmtId="0" fontId="19" fillId="0" borderId="1" xfId="0" applyFont="1" applyBorder="1" applyAlignment="1">
      <alignment horizontal="center" vertical="center"/>
    </xf>
    <xf numFmtId="17" fontId="0" fillId="0" borderId="1" xfId="0" applyNumberFormat="1" applyBorder="1"/>
    <xf numFmtId="0" fontId="4" fillId="11" borderId="1" xfId="0" applyFont="1" applyFill="1" applyBorder="1" applyAlignment="1">
      <alignment vertical="top" wrapText="1"/>
    </xf>
    <xf numFmtId="0" fontId="18" fillId="0" borderId="1" xfId="0" applyFont="1" applyBorder="1" applyAlignment="1">
      <alignment horizontal="left" vertical="center"/>
    </xf>
    <xf numFmtId="0" fontId="3" fillId="0" borderId="1" xfId="0" applyFont="1" applyBorder="1" applyAlignment="1">
      <alignment horizontal="left" vertical="center"/>
    </xf>
    <xf numFmtId="0" fontId="14" fillId="10" borderId="1" xfId="0" applyFont="1" applyFill="1" applyBorder="1" applyAlignment="1">
      <alignment vertical="center"/>
    </xf>
    <xf numFmtId="0" fontId="16" fillId="0" borderId="1" xfId="0" applyFont="1" applyBorder="1" applyAlignment="1">
      <alignment horizontal="left" vertical="center" wrapText="1"/>
    </xf>
    <xf numFmtId="0" fontId="23" fillId="0" borderId="1" xfId="0" applyFont="1" applyBorder="1" applyAlignment="1">
      <alignment horizontal="left" vertical="center"/>
    </xf>
    <xf numFmtId="0" fontId="16" fillId="9" borderId="1" xfId="0" applyFont="1" applyFill="1" applyBorder="1" applyAlignment="1">
      <alignment horizontal="left" vertical="center" wrapText="1"/>
    </xf>
    <xf numFmtId="0" fontId="3" fillId="0" borderId="1" xfId="0" applyFont="1" applyBorder="1" applyAlignment="1">
      <alignment horizontal="left"/>
    </xf>
    <xf numFmtId="0" fontId="4" fillId="4" borderId="1" xfId="0" applyFont="1" applyFill="1" applyBorder="1"/>
    <xf numFmtId="0" fontId="3" fillId="0" borderId="0" xfId="0" applyFont="1"/>
    <xf numFmtId="0" fontId="16" fillId="0" borderId="17" xfId="0" applyFont="1" applyBorder="1" applyAlignment="1">
      <alignment horizontal="left" vertical="center"/>
    </xf>
    <xf numFmtId="0" fontId="0" fillId="0" borderId="17" xfId="0" applyBorder="1" applyAlignment="1">
      <alignment horizontal="center"/>
    </xf>
    <xf numFmtId="0" fontId="16" fillId="9" borderId="17" xfId="0" applyFont="1" applyFill="1" applyBorder="1" applyAlignment="1">
      <alignment horizontal="left" vertical="center"/>
    </xf>
    <xf numFmtId="0" fontId="14" fillId="0" borderId="17" xfId="0" applyFont="1" applyBorder="1" applyAlignment="1">
      <alignment vertical="center"/>
    </xf>
    <xf numFmtId="0" fontId="16" fillId="0" borderId="17" xfId="0" applyFont="1" applyBorder="1" applyAlignment="1">
      <alignment horizontal="center" vertical="center"/>
    </xf>
    <xf numFmtId="0" fontId="14" fillId="0" borderId="1" xfId="0" applyFont="1" applyBorder="1" applyAlignment="1">
      <alignment vertical="center" wrapText="1"/>
    </xf>
    <xf numFmtId="0" fontId="3" fillId="0" borderId="17" xfId="0" applyFont="1" applyBorder="1" applyAlignment="1">
      <alignment horizontal="center"/>
    </xf>
    <xf numFmtId="0" fontId="24" fillId="9" borderId="17" xfId="0" applyFont="1" applyFill="1" applyBorder="1" applyAlignment="1">
      <alignment horizontal="left" vertical="center"/>
    </xf>
    <xf numFmtId="0" fontId="24" fillId="0" borderId="1" xfId="0" applyFont="1" applyBorder="1" applyAlignment="1">
      <alignment vertical="center"/>
    </xf>
    <xf numFmtId="0" fontId="24" fillId="0" borderId="1" xfId="0" applyFont="1" applyBorder="1" applyAlignment="1">
      <alignment horizontal="center" vertical="center"/>
    </xf>
    <xf numFmtId="0" fontId="24" fillId="0" borderId="1" xfId="0" applyFont="1" applyBorder="1" applyAlignment="1">
      <alignment horizontal="left" vertical="center"/>
    </xf>
    <xf numFmtId="0" fontId="3" fillId="0" borderId="1" xfId="0" applyFont="1" applyBorder="1"/>
    <xf numFmtId="0" fontId="4" fillId="0" borderId="0" xfId="0" applyFont="1" applyAlignment="1">
      <alignment wrapText="1"/>
    </xf>
    <xf numFmtId="0" fontId="25" fillId="12" borderId="8" xfId="0" applyFont="1" applyFill="1" applyBorder="1" applyAlignment="1">
      <alignment horizontal="left" vertical="center" wrapText="1"/>
    </xf>
    <xf numFmtId="0" fontId="25" fillId="12" borderId="9" xfId="0" applyFont="1" applyFill="1" applyBorder="1" applyAlignment="1">
      <alignment horizontal="center" vertical="center" wrapText="1"/>
    </xf>
    <xf numFmtId="0" fontId="25" fillId="12" borderId="8" xfId="0" applyFont="1" applyFill="1" applyBorder="1" applyAlignment="1">
      <alignment horizontal="center" vertical="center" wrapText="1"/>
    </xf>
    <xf numFmtId="0" fontId="25" fillId="12" borderId="12" xfId="0" applyFont="1" applyFill="1" applyBorder="1" applyAlignment="1">
      <alignment horizontal="center" vertical="center" wrapText="1"/>
    </xf>
    <xf numFmtId="0" fontId="0" fillId="6" borderId="0" xfId="0" applyFont="1" applyFill="1"/>
    <xf numFmtId="0" fontId="2" fillId="13" borderId="18" xfId="0" applyFont="1" applyFill="1" applyBorder="1" applyAlignment="1">
      <alignment horizontal="center" vertical="center" wrapText="1"/>
    </xf>
    <xf numFmtId="0" fontId="26" fillId="13" borderId="18" xfId="0" applyFont="1" applyFill="1" applyBorder="1" applyAlignment="1">
      <alignment horizontal="center" vertical="center"/>
    </xf>
    <xf numFmtId="0" fontId="0" fillId="6" borderId="0" xfId="0" applyFont="1" applyFill="1" applyAlignment="1">
      <alignment vertical="center"/>
    </xf>
    <xf numFmtId="0" fontId="0" fillId="0" borderId="0" xfId="0" applyAlignment="1">
      <alignment vertical="center"/>
    </xf>
    <xf numFmtId="0" fontId="25" fillId="12" borderId="4" xfId="0" applyFont="1" applyFill="1" applyBorder="1" applyAlignment="1">
      <alignment horizontal="left" vertical="center" wrapText="1"/>
    </xf>
    <xf numFmtId="14" fontId="27" fillId="6" borderId="19" xfId="0" applyNumberFormat="1" applyFont="1" applyFill="1" applyBorder="1" applyAlignment="1">
      <alignment horizontal="left" vertical="center" wrapText="1"/>
    </xf>
    <xf numFmtId="14" fontId="27" fillId="6" borderId="19" xfId="0" applyNumberFormat="1" applyFont="1" applyFill="1" applyBorder="1" applyAlignment="1">
      <alignment horizontal="left" vertical="top" wrapText="1"/>
    </xf>
    <xf numFmtId="14" fontId="27" fillId="6" borderId="20" xfId="0" applyNumberFormat="1" applyFont="1" applyFill="1" applyBorder="1" applyAlignment="1">
      <alignment horizontal="left" vertical="center" wrapText="1"/>
    </xf>
    <xf numFmtId="0" fontId="25" fillId="12" borderId="7" xfId="0" applyFont="1" applyFill="1" applyBorder="1" applyAlignment="1">
      <alignment horizontal="left" vertical="center" wrapText="1"/>
    </xf>
    <xf numFmtId="14" fontId="27" fillId="6" borderId="21" xfId="0" applyNumberFormat="1" applyFont="1" applyFill="1" applyBorder="1" applyAlignment="1">
      <alignment horizontal="center" vertical="center" wrapText="1"/>
    </xf>
    <xf numFmtId="14" fontId="27" fillId="6" borderId="1" xfId="0" applyNumberFormat="1" applyFont="1" applyFill="1" applyBorder="1" applyAlignment="1">
      <alignment horizontal="left" vertical="top" wrapText="1"/>
    </xf>
    <xf numFmtId="14" fontId="27" fillId="6" borderId="1" xfId="0" applyNumberFormat="1" applyFont="1" applyFill="1" applyBorder="1" applyAlignment="1">
      <alignment horizontal="left" vertical="center" wrapText="1"/>
    </xf>
    <xf numFmtId="14" fontId="27" fillId="6" borderId="1" xfId="0" applyNumberFormat="1" applyFont="1" applyFill="1" applyBorder="1" applyAlignment="1">
      <alignment horizontal="center" vertical="center" wrapText="1"/>
    </xf>
    <xf numFmtId="14" fontId="27" fillId="6" borderId="22" xfId="0" applyNumberFormat="1" applyFont="1" applyFill="1" applyBorder="1" applyAlignment="1">
      <alignment horizontal="center" vertical="center" wrapText="1"/>
    </xf>
    <xf numFmtId="14" fontId="0" fillId="6" borderId="0" xfId="0" applyNumberFormat="1" applyFont="1" applyFill="1"/>
    <xf numFmtId="14" fontId="27" fillId="6" borderId="21" xfId="0" applyNumberFormat="1" applyFont="1" applyFill="1" applyBorder="1" applyAlignment="1">
      <alignment horizontal="left" vertical="center" wrapText="1"/>
    </xf>
    <xf numFmtId="14" fontId="28" fillId="6" borderId="1" xfId="0" applyNumberFormat="1" applyFont="1" applyFill="1" applyBorder="1" applyAlignment="1">
      <alignment horizontal="left" vertical="center" wrapText="1"/>
    </xf>
    <xf numFmtId="14" fontId="27" fillId="4" borderId="21" xfId="0" applyNumberFormat="1" applyFont="1" applyFill="1" applyBorder="1" applyAlignment="1">
      <alignment horizontal="center" vertical="center" wrapText="1"/>
    </xf>
    <xf numFmtId="14" fontId="27" fillId="4" borderId="1" xfId="0" applyNumberFormat="1" applyFont="1" applyFill="1" applyBorder="1" applyAlignment="1">
      <alignment horizontal="center" vertical="center" wrapText="1"/>
    </xf>
    <xf numFmtId="14" fontId="27" fillId="4" borderId="1" xfId="0" applyNumberFormat="1" applyFont="1" applyFill="1" applyBorder="1" applyAlignment="1">
      <alignment horizontal="left" vertical="center" wrapText="1"/>
    </xf>
    <xf numFmtId="14" fontId="28" fillId="4" borderId="21" xfId="0" applyNumberFormat="1" applyFont="1" applyFill="1" applyBorder="1" applyAlignment="1">
      <alignment horizontal="center" vertical="center" wrapText="1"/>
    </xf>
    <xf numFmtId="14" fontId="27" fillId="4" borderId="22" xfId="0" applyNumberFormat="1" applyFont="1" applyFill="1" applyBorder="1" applyAlignment="1">
      <alignment horizontal="left" vertical="center" wrapText="1"/>
    </xf>
    <xf numFmtId="14" fontId="27" fillId="6" borderId="22" xfId="0" applyNumberFormat="1" applyFont="1" applyFill="1" applyBorder="1" applyAlignment="1">
      <alignment horizontal="left" vertical="center" wrapText="1"/>
    </xf>
    <xf numFmtId="14" fontId="28" fillId="6" borderId="21" xfId="0" applyNumberFormat="1" applyFont="1" applyFill="1" applyBorder="1" applyAlignment="1">
      <alignment horizontal="center" vertical="center" wrapText="1"/>
    </xf>
    <xf numFmtId="14" fontId="27" fillId="4" borderId="21" xfId="0" applyNumberFormat="1" applyFont="1" applyFill="1" applyBorder="1" applyAlignment="1">
      <alignment horizontal="left" vertical="center" wrapText="1"/>
    </xf>
    <xf numFmtId="14" fontId="27" fillId="6" borderId="23" xfId="0" applyNumberFormat="1" applyFont="1" applyFill="1" applyBorder="1" applyAlignment="1">
      <alignment horizontal="left" vertical="center" wrapText="1"/>
    </xf>
    <xf numFmtId="14" fontId="27" fillId="6" borderId="24" xfId="0" applyNumberFormat="1" applyFont="1" applyFill="1" applyBorder="1" applyAlignment="1">
      <alignment horizontal="left" vertical="center" wrapText="1"/>
    </xf>
    <xf numFmtId="14" fontId="27" fillId="6" borderId="25" xfId="0" applyNumberFormat="1" applyFont="1" applyFill="1" applyBorder="1" applyAlignment="1">
      <alignment horizontal="left" vertical="center" wrapText="1"/>
    </xf>
    <xf numFmtId="0" fontId="29" fillId="6" borderId="11" xfId="0" applyFont="1" applyFill="1" applyBorder="1" applyAlignment="1">
      <alignment horizontal="left" vertical="top" wrapText="1"/>
    </xf>
    <xf numFmtId="0" fontId="0" fillId="6" borderId="11" xfId="0" applyFont="1" applyFill="1" applyBorder="1" applyAlignment="1">
      <alignment horizontal="left" vertical="top" wrapText="1"/>
    </xf>
    <xf numFmtId="0" fontId="29" fillId="6" borderId="0" xfId="0" applyFont="1" applyFill="1" applyAlignment="1">
      <alignment horizontal="left" vertical="top" wrapText="1"/>
    </xf>
    <xf numFmtId="0" fontId="0" fillId="6" borderId="0" xfId="0" applyFont="1" applyFill="1" applyAlignment="1">
      <alignment horizontal="left" vertical="top" wrapText="1"/>
    </xf>
    <xf numFmtId="0" fontId="0" fillId="0" borderId="0" xfId="0" applyFont="1"/>
  </cellXfs>
  <cellStyles count="5">
    <cellStyle name="Normal" xfId="0" builtinId="0"/>
    <cellStyle name="Normal 2" xfId="1"/>
    <cellStyle name="Normal 2 2" xfId="4"/>
    <cellStyle name="Normal 4" xfId="2"/>
    <cellStyle name="Normal 5" xfId="3"/>
  </cellStyles>
  <dxfs count="12">
    <dxf>
      <font>
        <color rgb="FF9C0006"/>
      </font>
      <fill>
        <patternFill>
          <bgColor rgb="FFFFC7CE"/>
        </patternFill>
      </fill>
    </dxf>
    <dxf>
      <border diagonalUp="0" diagonalDown="0">
        <left style="medium">
          <color indexed="64"/>
        </left>
        <right/>
        <top style="medium">
          <color indexed="64"/>
        </top>
        <bottom style="medium">
          <color indexed="64"/>
        </bottom>
        <vertical/>
        <horizontal/>
      </border>
    </dxf>
    <dxf>
      <numFmt numFmtId="19" formatCode="dd/mm/yyyy"/>
      <alignment horizontal="center" vertical="bottom" textRotation="0" wrapText="0" relativeIndent="0" justifyLastLine="0" shrinkToFit="0" readingOrder="0"/>
      <border diagonalUp="0" diagonalDown="0">
        <left style="medium">
          <color indexed="64"/>
        </left>
        <right style="medium">
          <color indexed="64"/>
        </right>
        <top style="medium">
          <color indexed="64"/>
        </top>
        <bottom style="medium">
          <color indexed="64"/>
        </bottom>
        <vertical/>
        <horizontal/>
      </border>
    </dxf>
    <dxf>
      <numFmt numFmtId="19" formatCode="dd/mm/yyyy"/>
      <alignment horizontal="center" vertical="bottom" textRotation="0" wrapText="0" relativeIndent="0" justifyLastLine="0" shrinkToFit="0" readingOrder="0"/>
      <border diagonalUp="0" diagonalDown="0">
        <left style="medium">
          <color indexed="64"/>
        </left>
        <right style="medium">
          <color indexed="64"/>
        </right>
        <top style="medium">
          <color indexed="64"/>
        </top>
        <bottom style="medium">
          <color indexed="64"/>
        </bottom>
        <vertical/>
        <horizontal/>
      </border>
    </dxf>
    <dxf>
      <alignment horizontal="center" vertical="bottom" textRotation="0" wrapText="0" relativeIndent="0" justifyLastLine="0" shrinkToFit="0" readingOrder="0"/>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border diagonalUp="0" diagonalDown="0">
        <left style="medium">
          <color indexed="64"/>
        </left>
        <right style="medium">
          <color indexed="64"/>
        </right>
        <top style="medium">
          <color indexed="64"/>
        </top>
        <bottom style="medium">
          <color indexed="64"/>
        </bottom>
        <vertical/>
        <horizontal/>
      </border>
    </dxf>
    <dxf>
      <alignment horizontal="center" vertical="bottom" textRotation="0" wrapText="0" relativeIndent="0" justifyLastLine="0" shrinkToFit="0" readingOrder="0"/>
      <border diagonalUp="0" diagonalDown="0">
        <left/>
        <right style="medium">
          <color indexed="64"/>
        </right>
        <top style="medium">
          <color indexed="64"/>
        </top>
        <bottom style="medium">
          <color indexed="64"/>
        </bottom>
        <vertical/>
        <horizontal/>
      </border>
    </dxf>
    <dxf>
      <border outline="0">
        <top style="medium">
          <color indexed="64"/>
        </top>
      </border>
    </dxf>
    <dxf>
      <border outline="0">
        <bottom style="medium">
          <color indexed="64"/>
        </bottom>
      </border>
    </dxf>
    <dxf>
      <border outline="0">
        <left style="medium">
          <color indexed="64"/>
        </left>
        <right style="medium">
          <color indexed="64"/>
        </right>
        <top style="medium">
          <color indexed="64"/>
        </top>
        <bottom style="medium">
          <color indexed="64"/>
        </bottom>
      </border>
    </dxf>
    <dxf>
      <alignment horizontal="center" vertical="bottom" textRotation="0" wrapText="0" relative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externalLink" Target="externalLinks/externalLink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Manpower vs Machines</a:t>
            </a:r>
          </a:p>
        </c:rich>
      </c:tx>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Manpower count1</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DRILLING</c:v>
              </c:pt>
            </c:strLit>
          </c:cat>
          <c:val>
            <c:numLit>
              <c:formatCode>General</c:formatCode>
              <c:ptCount val="1"/>
              <c:pt idx="0">
                <c:v>9</c:v>
              </c:pt>
            </c:numLit>
          </c:val>
          <c:extLst>
            <c:ext xmlns:c16="http://schemas.microsoft.com/office/drawing/2014/chart" uri="{C3380CC4-5D6E-409C-BE32-E72D297353CC}">
              <c16:uniqueId val="{00000000-E6FA-4DA0-98CF-E9B2508BF2E4}"/>
            </c:ext>
          </c:extLst>
        </c:ser>
        <c:ser>
          <c:idx val="1"/>
          <c:order val="1"/>
          <c:tx>
            <c:v>Machines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Lit>
              <c:ptCount val="1"/>
              <c:pt idx="0">
                <c:v>DRILLING</c:v>
              </c:pt>
            </c:strLit>
          </c:cat>
          <c:val>
            <c:numLit>
              <c:formatCode>General</c:formatCode>
              <c:ptCount val="1"/>
              <c:pt idx="0">
                <c:v>7</c:v>
              </c:pt>
            </c:numLit>
          </c:val>
          <c:extLst>
            <c:ext xmlns:c16="http://schemas.microsoft.com/office/drawing/2014/chart" uri="{C3380CC4-5D6E-409C-BE32-E72D297353CC}">
              <c16:uniqueId val="{00000001-E6FA-4DA0-98CF-E9B2508BF2E4}"/>
            </c:ext>
          </c:extLst>
        </c:ser>
        <c:dLbls>
          <c:dLblPos val="inEnd"/>
          <c:showLegendKey val="0"/>
          <c:showVal val="1"/>
          <c:showCatName val="0"/>
          <c:showSerName val="0"/>
          <c:showPercent val="0"/>
          <c:showBubbleSize val="0"/>
        </c:dLbls>
        <c:gapWidth val="199"/>
        <c:axId val="769670175"/>
        <c:axId val="769671007"/>
      </c:barChart>
      <c:catAx>
        <c:axId val="76967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69671007"/>
        <c:crosses val="autoZero"/>
        <c:auto val="1"/>
        <c:lblAlgn val="ctr"/>
        <c:lblOffset val="100"/>
        <c:noMultiLvlLbl val="0"/>
      </c:catAx>
      <c:valAx>
        <c:axId val="7696710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96701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Manpower</a:t>
            </a:r>
            <a:r>
              <a:rPr lang="en-US" baseline="0"/>
              <a:t> workload</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0"/>
              <c:pt idx="0">
                <c:v>Abishake M</c:v>
              </c:pt>
              <c:pt idx="1">
                <c:v>Ashraf</c:v>
              </c:pt>
              <c:pt idx="2">
                <c:v>Pandiyan</c:v>
              </c:pt>
              <c:pt idx="3">
                <c:v>Rajaselvan</c:v>
              </c:pt>
              <c:pt idx="4">
                <c:v>Srinath</c:v>
              </c:pt>
              <c:pt idx="5">
                <c:v>Tendulkar Venkatachalam</c:v>
              </c:pt>
              <c:pt idx="6">
                <c:v>Vishakh</c:v>
              </c:pt>
              <c:pt idx="7">
                <c:v>(blank)</c:v>
              </c:pt>
              <c:pt idx="8">
                <c:v>KEERTHI</c:v>
              </c:pt>
              <c:pt idx="9">
                <c:v>Nishesh</c:v>
              </c:pt>
            </c:strLit>
          </c:cat>
          <c:val>
            <c:numLit>
              <c:formatCode>General</c:formatCode>
              <c:ptCount val="10"/>
              <c:pt idx="0">
                <c:v>2</c:v>
              </c:pt>
              <c:pt idx="1">
                <c:v>2</c:v>
              </c:pt>
              <c:pt idx="2">
                <c:v>5</c:v>
              </c:pt>
              <c:pt idx="3">
                <c:v>21</c:v>
              </c:pt>
              <c:pt idx="4">
                <c:v>1</c:v>
              </c:pt>
              <c:pt idx="5">
                <c:v>2</c:v>
              </c:pt>
              <c:pt idx="6">
                <c:v>4</c:v>
              </c:pt>
              <c:pt idx="7">
                <c:v>0</c:v>
              </c:pt>
              <c:pt idx="8">
                <c:v>13</c:v>
              </c:pt>
              <c:pt idx="9">
                <c:v>2</c:v>
              </c:pt>
            </c:numLit>
          </c:val>
          <c:extLst>
            <c:ext xmlns:c16="http://schemas.microsoft.com/office/drawing/2014/chart" uri="{C3380CC4-5D6E-409C-BE32-E72D297353CC}">
              <c16:uniqueId val="{00000000-B91F-4CDD-9E24-CDEB299A56E2}"/>
            </c:ext>
          </c:extLst>
        </c:ser>
        <c:dLbls>
          <c:dLblPos val="outEnd"/>
          <c:showLegendKey val="0"/>
          <c:showVal val="1"/>
          <c:showCatName val="0"/>
          <c:showSerName val="0"/>
          <c:showPercent val="0"/>
          <c:showBubbleSize val="0"/>
        </c:dLbls>
        <c:gapWidth val="100"/>
        <c:overlap val="-24"/>
        <c:axId val="961636591"/>
        <c:axId val="961637007"/>
      </c:barChart>
      <c:catAx>
        <c:axId val="9616365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37007"/>
        <c:crosses val="autoZero"/>
        <c:auto val="1"/>
        <c:lblAlgn val="ctr"/>
        <c:lblOffset val="100"/>
        <c:tickLblSkip val="1"/>
        <c:noMultiLvlLbl val="0"/>
      </c:catAx>
      <c:valAx>
        <c:axId val="96163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36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SupplierS</a:t>
            </a: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ctr"/>
          <c:showLegendKey val="0"/>
          <c:showVal val="1"/>
          <c:showCatName val="1"/>
          <c:showSerName val="0"/>
          <c:showPercent val="0"/>
          <c:showBubbleSize val="0"/>
          <c:extLst>
            <c:ext xmlns:c15="http://schemas.microsoft.com/office/drawing/2012/chart" uri="{CE6537A1-D6FC-4f65-9D91-7224C49458BB}"/>
          </c:extLst>
        </c:dLbl>
      </c:pivotFmt>
      <c:pivotFmt>
        <c:idx val="15"/>
        <c:dLbl>
          <c:idx val="0"/>
          <c:layout>
            <c:manualLayout>
              <c:x val="8.6862136110915627E-3"/>
              <c:y val="-0.13740458015267176"/>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47368111473530644"/>
                  <c:h val="0.20160325379174932"/>
                </c:manualLayout>
              </c15:layout>
            </c:ext>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8"/>
        <c:spPr>
          <a:solidFill>
            <a:schemeClr val="accent2"/>
          </a:solidFill>
          <a:ln>
            <a:noFill/>
          </a:ln>
          <a:effectLst/>
          <a:scene3d>
            <a:camera prst="orthographicFront"/>
            <a:lightRig rig="brightRoom" dir="t"/>
          </a:scene3d>
          <a:sp3d prstMaterial="flat">
            <a:bevelT w="50800" h="101600" prst="angle"/>
            <a:contourClr>
              <a:srgbClr val="000000"/>
            </a:contourClr>
          </a:sp3d>
        </c:spPr>
        <c:marker>
          <c:spPr>
            <a:solidFill>
              <a:schemeClr val="accent2"/>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10C-4C31-8065-8474D8F0B347}"/>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10C-4C31-8065-8474D8F0B347}"/>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10C-4C31-8065-8474D8F0B347}"/>
              </c:ext>
            </c:extLst>
          </c:dPt>
          <c:dPt>
            <c:idx val="3"/>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10C-4C31-8065-8474D8F0B347}"/>
              </c:ext>
            </c:extLst>
          </c:dPt>
          <c:dPt>
            <c:idx val="4"/>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10C-4C31-8065-8474D8F0B347}"/>
              </c:ext>
            </c:extLst>
          </c:dPt>
          <c:dPt>
            <c:idx val="5"/>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10C-4C31-8065-8474D8F0B347}"/>
              </c:ext>
            </c:extLst>
          </c:dPt>
          <c:dPt>
            <c:idx val="6"/>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10C-4C31-8065-8474D8F0B347}"/>
              </c:ext>
            </c:extLst>
          </c:dPt>
          <c:dPt>
            <c:idx val="7"/>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A10C-4C31-8065-8474D8F0B347}"/>
              </c:ext>
            </c:extLst>
          </c:dPt>
          <c:dPt>
            <c:idx val="8"/>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A10C-4C31-8065-8474D8F0B347}"/>
              </c:ext>
            </c:extLst>
          </c:dPt>
          <c:dPt>
            <c:idx val="9"/>
            <c:bubble3D val="0"/>
            <c:spPr>
              <a:solidFill>
                <a:schemeClr val="accent2">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A10C-4C31-8065-8474D8F0B347}"/>
              </c:ext>
            </c:extLst>
          </c:dPt>
          <c:dPt>
            <c:idx val="10"/>
            <c:bubble3D val="0"/>
            <c:spPr>
              <a:solidFill>
                <a:schemeClr val="accent4">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A10C-4C31-8065-8474D8F0B3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2"/>
              <c:pt idx="0">
                <c:v>SCHMOLL</c:v>
              </c:pt>
              <c:pt idx="1">
                <c:v>(blank)</c:v>
              </c:pt>
            </c:strLit>
          </c:cat>
          <c:val>
            <c:numLit>
              <c:formatCode>General</c:formatCode>
              <c:ptCount val="2"/>
              <c:pt idx="0">
                <c:v>7</c:v>
              </c:pt>
              <c:pt idx="1">
                <c:v>0</c:v>
              </c:pt>
            </c:numLit>
          </c:val>
          <c:extLst>
            <c:ext xmlns:c16="http://schemas.microsoft.com/office/drawing/2014/chart" uri="{C3380CC4-5D6E-409C-BE32-E72D297353CC}">
              <c16:uniqueId val="{00000016-A10C-4C31-8065-8474D8F0B34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147638</xdr:colOff>
      <xdr:row>4</xdr:row>
      <xdr:rowOff>152400</xdr:rowOff>
    </xdr:from>
    <xdr:to>
      <xdr:col>16</xdr:col>
      <xdr:colOff>533400</xdr:colOff>
      <xdr:row>18</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80960</xdr:colOff>
      <xdr:row>18</xdr:row>
      <xdr:rowOff>152399</xdr:rowOff>
    </xdr:from>
    <xdr:to>
      <xdr:col>16</xdr:col>
      <xdr:colOff>533399</xdr:colOff>
      <xdr:row>29</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57150</xdr:colOff>
      <xdr:row>4</xdr:row>
      <xdr:rowOff>152399</xdr:rowOff>
    </xdr:from>
    <xdr:to>
      <xdr:col>11</xdr:col>
      <xdr:colOff>95250</xdr:colOff>
      <xdr:row>18</xdr:row>
      <xdr:rowOff>9524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1</xdr:rowOff>
    </xdr:from>
    <xdr:to>
      <xdr:col>3</xdr:col>
      <xdr:colOff>0</xdr:colOff>
      <xdr:row>11</xdr:row>
      <xdr:rowOff>38101</xdr:rowOff>
    </xdr:to>
    <mc:AlternateContent xmlns:mc="http://schemas.openxmlformats.org/markup-compatibility/2006">
      <mc:Choice xmlns:a14="http://schemas.microsoft.com/office/drawing/2010/main"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
              <a:ext cx="1828800" cy="215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0</xdr:row>
      <xdr:rowOff>19050</xdr:rowOff>
    </xdr:from>
    <xdr:to>
      <xdr:col>6</xdr:col>
      <xdr:colOff>9525</xdr:colOff>
      <xdr:row>9</xdr:row>
      <xdr:rowOff>0</xdr:rowOff>
    </xdr:to>
    <mc:AlternateContent xmlns:mc="http://schemas.openxmlformats.org/markup-compatibility/2006">
      <mc:Choice xmlns:a14="http://schemas.microsoft.com/office/drawing/2010/main" Requires="a14">
        <xdr:graphicFrame macro="">
          <xdr:nvGraphicFramePr>
            <xdr:cNvPr id="6" name="Description"/>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dr:sp macro="" textlink="">
          <xdr:nvSpPr>
            <xdr:cNvPr id="0" name=""/>
            <xdr:cNvSpPr>
              <a:spLocks noTextEdit="1"/>
            </xdr:cNvSpPr>
          </xdr:nvSpPr>
          <xdr:spPr>
            <a:xfrm>
              <a:off x="1838325" y="19050"/>
              <a:ext cx="1828800" cy="171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76201</xdr:rowOff>
    </xdr:from>
    <xdr:to>
      <xdr:col>3</xdr:col>
      <xdr:colOff>0</xdr:colOff>
      <xdr:row>17</xdr:row>
      <xdr:rowOff>95250</xdr:rowOff>
    </xdr:to>
    <mc:AlternateContent xmlns:mc="http://schemas.openxmlformats.org/markup-compatibility/2006">
      <mc:Choice xmlns:a14="http://schemas.microsoft.com/office/drawing/2010/main" Requires="a14">
        <xdr:graphicFrame macro="">
          <xdr:nvGraphicFramePr>
            <xdr:cNvPr id="7" name="Team Lead"/>
            <xdr:cNvGraphicFramePr/>
          </xdr:nvGraphicFramePr>
          <xdr:xfrm>
            <a:off x="0" y="0"/>
            <a:ext cx="0" cy="0"/>
          </xdr:xfrm>
          <a:graphic>
            <a:graphicData uri="http://schemas.microsoft.com/office/drawing/2010/slicer">
              <sle:slicer xmlns:sle="http://schemas.microsoft.com/office/drawing/2010/slicer" name="Team Lead"/>
            </a:graphicData>
          </a:graphic>
        </xdr:graphicFrame>
      </mc:Choice>
      <mc:Fallback>
        <xdr:sp macro="" textlink="">
          <xdr:nvSpPr>
            <xdr:cNvPr id="0" name=""/>
            <xdr:cNvSpPr>
              <a:spLocks noTextEdit="1"/>
            </xdr:cNvSpPr>
          </xdr:nvSpPr>
          <xdr:spPr>
            <a:xfrm>
              <a:off x="0" y="2190751"/>
              <a:ext cx="1828800" cy="116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17</xdr:row>
      <xdr:rowOff>123826</xdr:rowOff>
    </xdr:from>
    <xdr:to>
      <xdr:col>3</xdr:col>
      <xdr:colOff>0</xdr:colOff>
      <xdr:row>26</xdr:row>
      <xdr:rowOff>171450</xdr:rowOff>
    </xdr:to>
    <mc:AlternateContent xmlns:mc="http://schemas.openxmlformats.org/markup-compatibility/2006">
      <mc:Choice xmlns:a14="http://schemas.microsoft.com/office/drawing/2010/main" Requires="a14">
        <xdr:graphicFrame macro="">
          <xdr:nvGraphicFramePr>
            <xdr:cNvPr id="8" name="Primary"/>
            <xdr:cNvGraphicFramePr/>
          </xdr:nvGraphicFramePr>
          <xdr:xfrm>
            <a:off x="0" y="0"/>
            <a:ext cx="0" cy="0"/>
          </xdr:xfrm>
          <a:graphic>
            <a:graphicData uri="http://schemas.microsoft.com/office/drawing/2010/slicer">
              <sle:slicer xmlns:sle="http://schemas.microsoft.com/office/drawing/2010/slicer" name="Primary"/>
            </a:graphicData>
          </a:graphic>
        </xdr:graphicFrame>
      </mc:Choice>
      <mc:Fallback>
        <xdr:sp macro="" textlink="">
          <xdr:nvSpPr>
            <xdr:cNvPr id="0" name=""/>
            <xdr:cNvSpPr>
              <a:spLocks noTextEdit="1"/>
            </xdr:cNvSpPr>
          </xdr:nvSpPr>
          <xdr:spPr>
            <a:xfrm>
              <a:off x="9525" y="3381376"/>
              <a:ext cx="1819275" cy="1762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11</xdr:row>
      <xdr:rowOff>66675</xdr:rowOff>
    </xdr:from>
    <xdr:to>
      <xdr:col>6</xdr:col>
      <xdr:colOff>9525</xdr:colOff>
      <xdr:row>26</xdr:row>
      <xdr:rowOff>171450</xdr:rowOff>
    </xdr:to>
    <mc:AlternateContent xmlns:mc="http://schemas.openxmlformats.org/markup-compatibility/2006">
      <mc:Choice xmlns:a14="http://schemas.microsoft.com/office/drawing/2010/main" Requires="a14">
        <xdr:graphicFrame macro="">
          <xdr:nvGraphicFramePr>
            <xdr:cNvPr id="9" name="Secondary"/>
            <xdr:cNvGraphicFramePr/>
          </xdr:nvGraphicFramePr>
          <xdr:xfrm>
            <a:off x="0" y="0"/>
            <a:ext cx="0" cy="0"/>
          </xdr:xfrm>
          <a:graphic>
            <a:graphicData uri="http://schemas.microsoft.com/office/drawing/2010/slicer">
              <sle:slicer xmlns:sle="http://schemas.microsoft.com/office/drawing/2010/slicer" name="Secondary"/>
            </a:graphicData>
          </a:graphic>
        </xdr:graphicFrame>
      </mc:Choice>
      <mc:Fallback>
        <xdr:sp macro="" textlink="">
          <xdr:nvSpPr>
            <xdr:cNvPr id="0" name=""/>
            <xdr:cNvSpPr>
              <a:spLocks noTextEdit="1"/>
            </xdr:cNvSpPr>
          </xdr:nvSpPr>
          <xdr:spPr>
            <a:xfrm>
              <a:off x="1838325" y="2181225"/>
              <a:ext cx="1828800" cy="2962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NSTALLATION%20PLAN%20MANPOWER%2026-05-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y%20Folders\Equipments\Pending%20Equipments%20-%2005_12_2025\Supplier%20Wise%20Capex,%20all%20sets\Negotiated,%20Finalised\Kewei%20Machine%20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1"/>
      <sheetName val="Manpower planning"/>
      <sheetName val="Sheet5"/>
      <sheetName val="Sheet3"/>
      <sheetName val="Sheet4"/>
    </sheetNames>
    <sheetDataSet>
      <sheetData sheetId="0">
        <row r="2">
          <cell r="T2" t="str">
            <v xml:space="preserve">Manpower </v>
          </cell>
          <cell r="U2" t="str">
            <v>Machine count</v>
          </cell>
        </row>
        <row r="3">
          <cell r="T3" t="str">
            <v>Abishake M</v>
          </cell>
          <cell r="U3">
            <v>2</v>
          </cell>
        </row>
        <row r="4">
          <cell r="T4" t="str">
            <v>Adhithya Ponnupayan</v>
          </cell>
          <cell r="U4">
            <v>2</v>
          </cell>
        </row>
        <row r="5">
          <cell r="T5" t="str">
            <v>Ajay</v>
          </cell>
          <cell r="U5">
            <v>4</v>
          </cell>
        </row>
        <row r="6">
          <cell r="T6" t="str">
            <v>Ajith Kumar</v>
          </cell>
          <cell r="U6">
            <v>2</v>
          </cell>
        </row>
        <row r="7">
          <cell r="T7" t="str">
            <v>AMAL</v>
          </cell>
          <cell r="U7">
            <v>13</v>
          </cell>
        </row>
        <row r="8">
          <cell r="T8" t="str">
            <v>Amarnath  R</v>
          </cell>
          <cell r="U8">
            <v>2</v>
          </cell>
        </row>
        <row r="9">
          <cell r="T9" t="str">
            <v>ANAND</v>
          </cell>
          <cell r="U9">
            <v>11</v>
          </cell>
        </row>
        <row r="10">
          <cell r="T10" t="str">
            <v>Anil Kumar C</v>
          </cell>
          <cell r="U10">
            <v>2</v>
          </cell>
        </row>
        <row r="11">
          <cell r="T11" t="str">
            <v>Arjunan R</v>
          </cell>
          <cell r="U11">
            <v>1</v>
          </cell>
        </row>
        <row r="12">
          <cell r="T12" t="str">
            <v>Ashraf</v>
          </cell>
          <cell r="U12">
            <v>2</v>
          </cell>
        </row>
        <row r="13">
          <cell r="T13" t="str">
            <v>Avinash B M</v>
          </cell>
          <cell r="U13">
            <v>8</v>
          </cell>
        </row>
        <row r="14">
          <cell r="T14" t="str">
            <v>Balamurugan Eswaramoorthy</v>
          </cell>
          <cell r="U14">
            <v>4</v>
          </cell>
        </row>
        <row r="15">
          <cell r="T15" t="str">
            <v>Boopathiajay</v>
          </cell>
          <cell r="U15">
            <v>1</v>
          </cell>
        </row>
        <row r="16">
          <cell r="T16" t="str">
            <v>Chandru D</v>
          </cell>
          <cell r="U16">
            <v>1</v>
          </cell>
        </row>
        <row r="17">
          <cell r="T17" t="str">
            <v>Chinnadurai Kandasamy</v>
          </cell>
          <cell r="U17">
            <v>4</v>
          </cell>
        </row>
        <row r="18">
          <cell r="T18" t="str">
            <v>Devis V</v>
          </cell>
          <cell r="U18">
            <v>4</v>
          </cell>
        </row>
        <row r="19">
          <cell r="T19" t="str">
            <v>Dhatchanamoorthy R</v>
          </cell>
          <cell r="U19">
            <v>4</v>
          </cell>
        </row>
        <row r="20">
          <cell r="T20" t="str">
            <v>Dinesh D</v>
          </cell>
          <cell r="U20">
            <v>2</v>
          </cell>
        </row>
        <row r="21">
          <cell r="T21" t="str">
            <v>GANESH</v>
          </cell>
          <cell r="U21">
            <v>10</v>
          </cell>
        </row>
        <row r="22">
          <cell r="T22" t="str">
            <v>Gokul D</v>
          </cell>
          <cell r="U22">
            <v>2</v>
          </cell>
        </row>
        <row r="23">
          <cell r="T23" t="str">
            <v>Hariharan R</v>
          </cell>
          <cell r="U23">
            <v>2</v>
          </cell>
        </row>
        <row r="24">
          <cell r="T24" t="str">
            <v>Hariharan S</v>
          </cell>
          <cell r="U24">
            <v>1</v>
          </cell>
        </row>
        <row r="25">
          <cell r="T25" t="str">
            <v>Harjana Thindappa</v>
          </cell>
          <cell r="U25">
            <v>1</v>
          </cell>
        </row>
        <row r="26">
          <cell r="T26" t="str">
            <v>John peter S</v>
          </cell>
          <cell r="U26">
            <v>2</v>
          </cell>
        </row>
        <row r="27">
          <cell r="T27" t="str">
            <v>Kannan K R</v>
          </cell>
          <cell r="U27">
            <v>2</v>
          </cell>
        </row>
        <row r="28">
          <cell r="T28" t="str">
            <v>Karmugil P</v>
          </cell>
          <cell r="U28">
            <v>5</v>
          </cell>
        </row>
        <row r="29">
          <cell r="T29" t="str">
            <v>Kathirvel S</v>
          </cell>
          <cell r="U29">
            <v>18</v>
          </cell>
        </row>
        <row r="30">
          <cell r="T30" t="str">
            <v>KEERTHI</v>
          </cell>
          <cell r="U30">
            <v>13</v>
          </cell>
        </row>
        <row r="31">
          <cell r="T31" t="str">
            <v xml:space="preserve">Manoj </v>
          </cell>
          <cell r="U31">
            <v>16</v>
          </cell>
        </row>
        <row r="32">
          <cell r="T32" t="str">
            <v>Mareeswaran R</v>
          </cell>
          <cell r="U32">
            <v>1</v>
          </cell>
        </row>
        <row r="33">
          <cell r="T33" t="str">
            <v>Mullaikumaran Saravanan</v>
          </cell>
          <cell r="U33">
            <v>1</v>
          </cell>
        </row>
        <row r="34">
          <cell r="T34" t="str">
            <v>Nishanth P</v>
          </cell>
          <cell r="U34">
            <v>1</v>
          </cell>
        </row>
        <row r="35">
          <cell r="T35" t="str">
            <v>Pandiyan</v>
          </cell>
          <cell r="U35">
            <v>5</v>
          </cell>
        </row>
        <row r="36">
          <cell r="T36" t="str">
            <v>Parthiban M</v>
          </cell>
          <cell r="U36">
            <v>6</v>
          </cell>
        </row>
        <row r="37">
          <cell r="T37" t="str">
            <v>Pradhap</v>
          </cell>
          <cell r="U37">
            <v>3</v>
          </cell>
        </row>
        <row r="38">
          <cell r="T38" t="str">
            <v xml:space="preserve">Prakash Sakthivel </v>
          </cell>
          <cell r="U38">
            <v>2</v>
          </cell>
        </row>
        <row r="39">
          <cell r="T39" t="str">
            <v>Prasanth P</v>
          </cell>
          <cell r="U39">
            <v>2</v>
          </cell>
        </row>
        <row r="40">
          <cell r="T40" t="str">
            <v>Ragul R</v>
          </cell>
          <cell r="U40">
            <v>6</v>
          </cell>
        </row>
        <row r="41">
          <cell r="T41" t="str">
            <v>Rajaselvan</v>
          </cell>
          <cell r="U41">
            <v>21</v>
          </cell>
        </row>
        <row r="42">
          <cell r="T42" t="str">
            <v>Ravi kumar Chaurasiya</v>
          </cell>
          <cell r="U42">
            <v>2</v>
          </cell>
        </row>
        <row r="43">
          <cell r="T43" t="str">
            <v>Rithik S</v>
          </cell>
          <cell r="U43">
            <v>8</v>
          </cell>
        </row>
        <row r="44">
          <cell r="T44" t="str">
            <v>Rohit Pradhan</v>
          </cell>
          <cell r="U44">
            <v>1</v>
          </cell>
        </row>
        <row r="45">
          <cell r="T45" t="str">
            <v>Sakthivel Annadurai</v>
          </cell>
          <cell r="U45">
            <v>7</v>
          </cell>
        </row>
        <row r="46">
          <cell r="T46" t="str">
            <v>Sanjay Kumar S</v>
          </cell>
          <cell r="U46">
            <v>2</v>
          </cell>
        </row>
        <row r="47">
          <cell r="T47" t="str">
            <v>Santhosh P</v>
          </cell>
          <cell r="U47">
            <v>1</v>
          </cell>
        </row>
        <row r="48">
          <cell r="T48" t="str">
            <v>Santhoshkumar R</v>
          </cell>
          <cell r="U48">
            <v>2</v>
          </cell>
        </row>
        <row r="49">
          <cell r="T49" t="str">
            <v>Saravanan M</v>
          </cell>
          <cell r="U49">
            <v>3</v>
          </cell>
        </row>
        <row r="50">
          <cell r="T50" t="str">
            <v>Selvaraj V</v>
          </cell>
          <cell r="U50">
            <v>2</v>
          </cell>
        </row>
        <row r="51">
          <cell r="T51" t="str">
            <v>Shivan M</v>
          </cell>
          <cell r="U51">
            <v>1</v>
          </cell>
        </row>
        <row r="52">
          <cell r="T52" t="str">
            <v>Soumya Ranjan Swain</v>
          </cell>
          <cell r="U52">
            <v>1</v>
          </cell>
        </row>
        <row r="53">
          <cell r="T53" t="str">
            <v>Srinath</v>
          </cell>
          <cell r="U53">
            <v>1</v>
          </cell>
        </row>
        <row r="54">
          <cell r="T54" t="str">
            <v>Sudhagar I</v>
          </cell>
          <cell r="U54">
            <v>1</v>
          </cell>
        </row>
        <row r="55">
          <cell r="T55" t="str">
            <v>Suresh Rathinam</v>
          </cell>
          <cell r="U55">
            <v>2</v>
          </cell>
        </row>
        <row r="56">
          <cell r="T56" t="str">
            <v>Suryaprakash M</v>
          </cell>
          <cell r="U56">
            <v>2</v>
          </cell>
        </row>
        <row r="57">
          <cell r="T57" t="str">
            <v>Suthakar P</v>
          </cell>
          <cell r="U57">
            <v>8</v>
          </cell>
        </row>
        <row r="58">
          <cell r="T58" t="str">
            <v>Tendulkar Venkatachalam</v>
          </cell>
          <cell r="U58">
            <v>2</v>
          </cell>
        </row>
        <row r="59">
          <cell r="T59" t="str">
            <v>Thirumoorthy Selvaraj</v>
          </cell>
          <cell r="U59">
            <v>1</v>
          </cell>
        </row>
        <row r="60">
          <cell r="T60" t="str">
            <v>Varshini D</v>
          </cell>
          <cell r="U60">
            <v>1</v>
          </cell>
        </row>
        <row r="61">
          <cell r="T61" t="str">
            <v>Vengadesh M</v>
          </cell>
          <cell r="U61">
            <v>1</v>
          </cell>
        </row>
        <row r="62">
          <cell r="T62" t="str">
            <v xml:space="preserve">Vignesh Dhakshnamoorthy </v>
          </cell>
          <cell r="U62">
            <v>1</v>
          </cell>
        </row>
        <row r="63">
          <cell r="T63" t="str">
            <v>Vinoth V</v>
          </cell>
          <cell r="U63">
            <v>1</v>
          </cell>
        </row>
        <row r="64">
          <cell r="T64" t="str">
            <v>Vishakh</v>
          </cell>
          <cell r="U64">
            <v>4</v>
          </cell>
        </row>
        <row r="65">
          <cell r="T65" t="str">
            <v>Vishnuram G</v>
          </cell>
          <cell r="U65">
            <v>1</v>
          </cell>
        </row>
        <row r="66">
          <cell r="T66" t="str">
            <v>Viswasurya V</v>
          </cell>
          <cell r="U66">
            <v>2</v>
          </cell>
        </row>
        <row r="68">
          <cell r="T68" t="str">
            <v>Mohan Raj M</v>
          </cell>
          <cell r="U68">
            <v>3</v>
          </cell>
        </row>
        <row r="69">
          <cell r="T69" t="str">
            <v>Nishesh</v>
          </cell>
          <cell r="U69">
            <v>2</v>
          </cell>
        </row>
      </sheetData>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ewei"/>
    </sheetNames>
    <sheetDataSet>
      <sheetData sheetId="0">
        <row r="4">
          <cell r="C4" t="str">
            <v>Roller Cutting Machine</v>
          </cell>
          <cell r="D4">
            <v>1</v>
          </cell>
          <cell r="E4" t="str">
            <v>Kewei, China</v>
          </cell>
        </row>
        <row r="5">
          <cell r="C5" t="str">
            <v>Motorised Shearing Machine</v>
          </cell>
          <cell r="D5">
            <v>1</v>
          </cell>
          <cell r="E5" t="str">
            <v>Kewei, China</v>
          </cell>
        </row>
        <row r="6">
          <cell r="C6" t="str">
            <v>Edge Beveling Machine</v>
          </cell>
          <cell r="D6">
            <v>1</v>
          </cell>
          <cell r="E6" t="str">
            <v>Kewei, China</v>
          </cell>
        </row>
        <row r="7">
          <cell r="C7" t="str">
            <v>Corner Rounding Machine</v>
          </cell>
          <cell r="D7">
            <v>1</v>
          </cell>
          <cell r="E7" t="str">
            <v>Kewei, China</v>
          </cell>
        </row>
        <row r="8">
          <cell r="C8" t="str">
            <v>Stack Pinning / De pinning Machine</v>
          </cell>
          <cell r="D8">
            <v>1</v>
          </cell>
          <cell r="E8" t="str">
            <v>Kewei, China</v>
          </cell>
        </row>
        <row r="9">
          <cell r="C9" t="str">
            <v>Flash Routing Machine</v>
          </cell>
          <cell r="D9">
            <v>2</v>
          </cell>
          <cell r="E9" t="str">
            <v>Kewei, China</v>
          </cell>
        </row>
        <row r="10">
          <cell r="C10" t="str">
            <v>Drill Ring Setting Machine</v>
          </cell>
          <cell r="D10">
            <v>1</v>
          </cell>
          <cell r="E10" t="str">
            <v>Kewei, China</v>
          </cell>
        </row>
        <row r="11">
          <cell r="C11" t="str">
            <v>Double Side Surface Grinding Machine with Loader &amp; Unloader</v>
          </cell>
          <cell r="D11">
            <v>1</v>
          </cell>
          <cell r="E11" t="str">
            <v>Kewei, China</v>
          </cell>
        </row>
        <row r="12">
          <cell r="C12" t="str">
            <v>Ink Mixer</v>
          </cell>
          <cell r="D12">
            <v>2</v>
          </cell>
          <cell r="E12" t="str">
            <v>Kewei, China</v>
          </cell>
        </row>
        <row r="13">
          <cell r="C13" t="str">
            <v>UV Curing Machine for UV Bump prior to Surface Finish</v>
          </cell>
          <cell r="D13">
            <v>1</v>
          </cell>
          <cell r="E13" t="str">
            <v>Kewei, China</v>
          </cell>
        </row>
        <row r="14">
          <cell r="C14" t="str">
            <v>Screen Stretching Unit</v>
          </cell>
          <cell r="D14">
            <v>1</v>
          </cell>
          <cell r="E14" t="str">
            <v>Kewei, China</v>
          </cell>
        </row>
        <row r="15">
          <cell r="C15" t="str">
            <v>Screen Coater Double Side</v>
          </cell>
          <cell r="D15">
            <v>1</v>
          </cell>
          <cell r="E15" t="str">
            <v>Kewei, China</v>
          </cell>
        </row>
        <row r="16">
          <cell r="C16" t="str">
            <v>Screen Exposure</v>
          </cell>
          <cell r="D16">
            <v>1</v>
          </cell>
          <cell r="E16" t="str">
            <v>Kewei, China</v>
          </cell>
        </row>
        <row r="17">
          <cell r="C17" t="str">
            <v>Screen Developing Unit</v>
          </cell>
          <cell r="D17">
            <v>1</v>
          </cell>
          <cell r="E17" t="str">
            <v>Kewei, China</v>
          </cell>
        </row>
        <row r="18">
          <cell r="C18" t="str">
            <v>Drying Oven</v>
          </cell>
          <cell r="D18">
            <v>1</v>
          </cell>
          <cell r="E18" t="str">
            <v>Kewei, China</v>
          </cell>
        </row>
        <row r="19">
          <cell r="C19" t="str">
            <v>Screen Washing Unit</v>
          </cell>
          <cell r="D19">
            <v>1</v>
          </cell>
          <cell r="E19" t="str">
            <v>Kewei, China</v>
          </cell>
        </row>
        <row r="20">
          <cell r="C20" t="str">
            <v>V-Grooving Machine (Multi Ctter Machine) 6 Top / 6 Bottom</v>
          </cell>
          <cell r="D20">
            <v>1</v>
          </cell>
          <cell r="E20" t="str">
            <v>Kewei, China</v>
          </cell>
        </row>
        <row r="21">
          <cell r="C21" t="str">
            <v>V-Grooving Machine (Jump Score)</v>
          </cell>
          <cell r="D21">
            <v>2</v>
          </cell>
          <cell r="E21" t="str">
            <v>Kewei, China</v>
          </cell>
        </row>
        <row r="22">
          <cell r="C22" t="str">
            <v>V-Grooving Depth Checkler</v>
          </cell>
          <cell r="D22">
            <v>2</v>
          </cell>
          <cell r="E22" t="str">
            <v>Kewei, China</v>
          </cell>
        </row>
        <row r="23">
          <cell r="C23" t="str">
            <v>Film Punching Machine</v>
          </cell>
          <cell r="D23">
            <v>1</v>
          </cell>
          <cell r="E23" t="str">
            <v>Kewei, China</v>
          </cell>
        </row>
        <row r="24">
          <cell r="C24" t="str">
            <v>Film Laminator</v>
          </cell>
          <cell r="D24">
            <v>1</v>
          </cell>
          <cell r="E24" t="str">
            <v>Kewei, China</v>
          </cell>
        </row>
        <row r="25">
          <cell r="C25" t="str">
            <v>Vaccum Packing Machine</v>
          </cell>
          <cell r="D25">
            <v>2</v>
          </cell>
          <cell r="E25" t="str">
            <v>Kewei, China</v>
          </cell>
        </row>
        <row r="26">
          <cell r="C26" t="str">
            <v>Starpping Machine</v>
          </cell>
          <cell r="D26">
            <v>1</v>
          </cell>
          <cell r="E26" t="str">
            <v>Kewei, China</v>
          </cell>
        </row>
        <row r="27">
          <cell r="C27" t="str">
            <v>Wrapping Machine PVC Shrink Wrap</v>
          </cell>
          <cell r="D27">
            <v>1</v>
          </cell>
          <cell r="E27" t="str">
            <v>Kewei, China</v>
          </cell>
        </row>
        <row r="28">
          <cell r="C28" t="str">
            <v>Loader &amp; Unloader systems for Horizontal Conveyorised equipments</v>
          </cell>
          <cell r="D28">
            <v>30</v>
          </cell>
          <cell r="E28" t="str">
            <v>Kewei, China</v>
          </cell>
        </row>
        <row r="29">
          <cell r="C29" t="str">
            <v>UV Integrator</v>
          </cell>
          <cell r="D29">
            <v>1</v>
          </cell>
          <cell r="E29" t="str">
            <v>Kewei, China</v>
          </cell>
        </row>
        <row r="30">
          <cell r="C30" t="str">
            <v>Dust Particle Measurement Instrument for clean rooms</v>
          </cell>
          <cell r="D30">
            <v>2</v>
          </cell>
          <cell r="E30" t="str">
            <v>Kewei, China</v>
          </cell>
        </row>
        <row r="31">
          <cell r="C31" t="str">
            <v>Sample Cutting machine</v>
          </cell>
          <cell r="D31">
            <v>1</v>
          </cell>
          <cell r="E31" t="str">
            <v>Kewei, China</v>
          </cell>
        </row>
        <row r="32">
          <cell r="C32" t="str">
            <v>Gel Timer</v>
          </cell>
          <cell r="D32">
            <v>1</v>
          </cell>
          <cell r="E32" t="str">
            <v>Kewei, China</v>
          </cell>
        </row>
        <row r="33">
          <cell r="C33" t="str">
            <v>Digital Viscometer</v>
          </cell>
          <cell r="D33">
            <v>1</v>
          </cell>
          <cell r="E33" t="str">
            <v>Kewei, China</v>
          </cell>
        </row>
        <row r="34">
          <cell r="C34" t="str">
            <v>Oven</v>
          </cell>
          <cell r="D34">
            <v>1</v>
          </cell>
          <cell r="E34" t="str">
            <v>Kewei, China</v>
          </cell>
        </row>
        <row r="35">
          <cell r="C35" t="str">
            <v>PCB Thickness measurement unit</v>
          </cell>
          <cell r="D35">
            <v>1</v>
          </cell>
          <cell r="E35" t="str">
            <v>Kewei, China</v>
          </cell>
        </row>
        <row r="36">
          <cell r="C36" t="str">
            <v>Line Width Tester</v>
          </cell>
          <cell r="D36">
            <v>1</v>
          </cell>
          <cell r="E36" t="str">
            <v>Kewei, China</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INSTALLATION%20PLAN%20MANPOWER%2026-05-202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INSTALLATION%20PLAN%20MANPOWER%2026-05-202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188.721741203706" createdVersion="6" refreshedVersion="6" minRefreshableVersion="3" recordCount="84">
  <cacheSource type="worksheet">
    <worksheetSource ref="A1:N1048576" sheet="Sheet1" r:id="rId2"/>
  </cacheSource>
  <cacheFields count="14">
    <cacheField name="Department" numFmtId="0">
      <sharedItems containsBlank="1" count="9">
        <s v="IMAGING"/>
        <s v="SOLDERMASK"/>
        <s v="ML PRESSING"/>
        <s v="WET PROCESS"/>
        <s v="SURFACE FINISH"/>
        <s v="AOI"/>
        <m/>
        <s v="DRILLING"/>
        <s v="ROUTING"/>
      </sharedItems>
    </cacheField>
    <cacheField name="Supplier" numFmtId="0">
      <sharedItems containsBlank="1" count="12">
        <s v="UCE"/>
        <m/>
        <s v="CIMS"/>
        <s v="DYNACHEM"/>
        <s v="ALTIX"/>
        <s v="SCHMOLL"/>
        <s v="KEWEI"/>
        <s v="TAIYO"/>
        <s v="GP"/>
        <s v="LAUFFER"/>
        <s v="ANDERSON"/>
        <s v="PENTAGAL"/>
      </sharedItems>
    </cacheField>
    <cacheField name="Description" numFmtId="0">
      <sharedItems containsBlank="1" count="49">
        <s v="PRECLEAN MACHINE FOR PHOTO"/>
        <s v="DES"/>
        <s v="PRE CLEAN MACHINE SM"/>
        <s v=" SM DEVELOPING "/>
        <s v="BOND FILM"/>
        <s v="DEBURRING LINE WITH ULTRASONIC CLEANING AND LOADER / UNLODER"/>
        <s v="HOIST TYPE DESMEAR + PTH LINE"/>
        <s v="VIAKING LINE FOR DIRECT METALIZATION WITH LOADER &amp; UNLOADER"/>
        <s v="AUTOMATIC VCP PANEL PLATING LINE"/>
        <s v="PLASMA DESMEAR MACHINE"/>
        <m/>
        <s v="FINAL CLEANING LINE"/>
        <s v="OSP LINE"/>
        <s v="DVCP PATTERN PLATING LINE"/>
        <s v="DEBURR + DESMEAR + PTH MACHINE"/>
        <s v="SES MACHINE "/>
        <s v="INNER LAYER PRETREATMENT MACHINE"/>
        <s v="INNER LAYER DES MACHINE"/>
        <s v="DRY FILM DEVELOPER MACHINE"/>
        <s v="SST PLATE CLEANING MACHINE"/>
        <s v=" IMMERSION TIN "/>
        <s v=" IMMERSION GOLD PRE-TREATMENT"/>
        <s v="IMMERSION GOLD POST-TREATMENT"/>
        <s v=" HAL PRE TREATMENT MACHINE "/>
        <s v="HAL POS TTREATMENT MACHINE "/>
        <s v="LDD BONDFILM MACHINE"/>
        <s v="OXIDE REMOVAL MACHINE"/>
        <s v="AOI SCAN-1"/>
        <s v="AOI SCAN-2"/>
        <s v="AOI VERI-1"/>
        <s v="AOI VERI-2"/>
        <s v="AOI VERI-3"/>
        <s v="AOI VERI-4"/>
        <s v="DRY FILM LAMINATOR"/>
        <s v="  ALTIX"/>
        <s v="  MDI"/>
        <s v="SCREEN MAKING EQUIPMENT"/>
        <s v="SM PRINTING "/>
        <s v="TACK DRYING OVEN "/>
        <s v="ALTIX MACHINE EXPOSING  "/>
        <s v="SCHMOLL MDI EXPOSING "/>
        <s v="FINAL CURING OVENS"/>
        <s v="LEGEND PRINTING - INKJET"/>
        <s v="LEGEND PRINTING - MANUAL"/>
        <s v="LAUFFER PRESS"/>
        <s v="CNC DRILLING"/>
        <s v="CNC ROUTING"/>
        <s v="HASL"/>
        <s v="CNC DRILLING X-RAY" u="1"/>
      </sharedItems>
    </cacheField>
    <cacheField name="Days for completion" numFmtId="0">
      <sharedItems containsString="0" containsBlank="1" containsNumber="1" containsInteger="1" minValue="1" maxValue="60"/>
    </cacheField>
    <cacheField name="Start Date" numFmtId="0">
      <sharedItems containsNonDate="0" containsDate="1" containsString="0" containsBlank="1" minDate="2026-06-01T00:00:00" maxDate="2026-08-11T00:00:00"/>
    </cacheField>
    <cacheField name="End date" numFmtId="0">
      <sharedItems containsNonDate="0" containsDate="1" containsString="0" containsBlank="1" minDate="2026-06-16T00:00:00" maxDate="2026-10-03T00:00:00"/>
    </cacheField>
    <cacheField name="Team Lead" numFmtId="0">
      <sharedItems containsBlank="1" count="11">
        <s v="Rithik S"/>
        <s v="Kathirvel S"/>
        <s v="Sakthivel Annadurai"/>
        <s v="Suthakar P"/>
        <m/>
        <s v="Avinash B M"/>
        <s v="Ragul R"/>
        <s v="Rajaselvan"/>
        <s v="Pandiyan" u="1"/>
        <s v="Karmugil P" u="1"/>
        <s v="Vishakh" u="1"/>
      </sharedItems>
    </cacheField>
    <cacheField name="Primary" numFmtId="0">
      <sharedItems containsBlank="1" count="25">
        <s v="Karmugil P"/>
        <s v="Kathirvel S"/>
        <s v="Sakthivel Annadurai"/>
        <s v="Balamurugan Eswaramoorthy"/>
        <s v="Devis V"/>
        <m/>
        <s v="Suresh Rathinam"/>
        <s v="Selvaraj V"/>
        <s v="Varshini D"/>
        <s v="Sanjay Kumar S"/>
        <s v="Prakash Sakthivel "/>
        <s v="Chinnadurai Kandasamy"/>
        <s v="Parthiban M"/>
        <s v="Mohan Raj M"/>
        <s v="Santhoshkumar R"/>
        <s v="Pandiyan"/>
        <s v="Rajaselvan"/>
        <s v="Nishesh"/>
        <s v="Vishakh"/>
        <s v="Ajay"/>
        <s v="Suthakar P" u="1"/>
        <s v="Rithik S" u="1"/>
        <s v="Kannan K R" u="1"/>
        <s v="Suryaprakash M" u="1"/>
        <s v="Avinash B M" u="1"/>
      </sharedItems>
    </cacheField>
    <cacheField name="Secondary" numFmtId="0">
      <sharedItems containsBlank="1" count="53">
        <s v="Mullaikumaran Saravanan"/>
        <s v="Hariharan S"/>
        <s v="Vinoth V"/>
        <s v="Ajith Kumar"/>
        <s v="Chinnadurai Kandasamy"/>
        <s v="Boopathiajay"/>
        <s v="Harjana Thindappa"/>
        <s v="Suryaprakash M"/>
        <s v="Kannan K R"/>
        <s v="Rohit Pradhan"/>
        <m/>
        <s v="Viswasurya V"/>
        <s v="Thirumoorthy Selvaraj"/>
        <s v="Soumya Ranjan Swain"/>
        <s v="Adhithya Ponnupayan"/>
        <s v="Santhosh P"/>
        <s v="Sudhagar I"/>
        <s v="Hariharan R"/>
        <s v="Saravanan M"/>
        <s v="Chandru D"/>
        <s v="Arjunan R"/>
        <s v="Shivan M"/>
        <s v="Anil Kumar C"/>
        <s v="Gokul D"/>
        <s v="Vishnuram G"/>
        <s v="Vignesh Dhakshnamoorthy "/>
        <s v="Vengadesh M"/>
        <s v="Nishanth P"/>
        <s v="Ravi kumar Chaurasiya"/>
        <s v="Dinesh D"/>
        <s v="John peter S"/>
        <s v="Mareeswaran R"/>
        <s v="Tendulkar Venkatachalam"/>
        <s v="Ashraf"/>
        <s v="Abishake M"/>
        <s v="Srinath"/>
        <s v="Dhatchanamoorthy R"/>
        <s v="Pradhap"/>
        <s v="Prasanth P"/>
        <s v="Amarnath  R"/>
        <s v="Mohan Raj M" u="1"/>
        <s v="Ajith Kumar M" u="1"/>
        <s v="Boopathi Ajay Paramasivam" u="1"/>
        <s v="Purushothaman S" u="1"/>
        <s v="Nagindra" u="1"/>
        <s v="Justin R" u="1"/>
        <s v="Sakthi M" u="1"/>
        <s v="Harijana Thindappa" u="1"/>
        <s v="Sandeepa  M R" u="1"/>
        <s v="Sakthi Murugan" u="1"/>
        <s v="Babu M" u="1"/>
        <s v="Santhoshkumar R" u="1"/>
        <s v="Annavarapu Veda Sai Maharshi" u="1"/>
      </sharedItems>
    </cacheField>
    <cacheField name="Tertiary" numFmtId="0">
      <sharedItems containsBlank="1"/>
    </cacheField>
    <cacheField name="Quaternary" numFmtId="0">
      <sharedItems containsNonDate="0" containsString="0" containsBlank="1"/>
    </cacheField>
    <cacheField name="Manpower count" numFmtId="0">
      <sharedItems containsString="0" containsBlank="1" containsNumber="1" containsInteger="1" minValue="1" maxValue="1"/>
    </cacheField>
    <cacheField name="Manpower" numFmtId="0">
      <sharedItems containsBlank="1" count="78">
        <s v="Rithik S"/>
        <s v="Karmugil P"/>
        <s v="Kathirvel S"/>
        <s v="Santhoshkumar R"/>
        <s v="Sakthivel Annadurai"/>
        <s v="Devis V"/>
        <s v="Balamurugan Eswaramoorthy"/>
        <s v="Suryaprakash M"/>
        <s v="Kannan K R"/>
        <s v="Suthakar P"/>
        <s v="Boopathiajay"/>
        <s v="Harjana Thindappa"/>
        <m/>
        <s v="Manoj "/>
        <s v="Rohit Pradhan"/>
        <s v="Suresh Rathinam"/>
        <s v="Avinash B M"/>
        <s v="Soumya Ranjan Swain"/>
        <s v="Mohan Raj M"/>
        <s v="Santhosh P"/>
        <s v="Sudhagar I"/>
        <s v="Shivan M"/>
        <s v="Sanjay Kumar S"/>
        <s v="Prakash Sakthivel "/>
        <s v="Chandru D"/>
        <s v="Saravanan M"/>
        <s v="Arjunan R"/>
        <s v="Varshini D"/>
        <s v="AMAL"/>
        <s v="Ragul R"/>
        <s v="Parthiban M"/>
        <s v="Anil Kumar C"/>
        <s v="Gokul D"/>
        <s v="Vishnuram G"/>
        <s v="KEERTHI"/>
        <s v="Vignesh Dhakshnamoorthy "/>
        <s v="Mullaikumaran Saravanan"/>
        <s v="Hariharan S"/>
        <s v="Adhithya Ponnupayan"/>
        <s v="Vengadesh M"/>
        <s v="Nishanth P"/>
        <s v="Vinoth V"/>
        <s v="John peter S"/>
        <s v="Mareeswaran R"/>
        <s v="Ajith Kumar M"/>
        <s v="Dinesh D"/>
        <s v="Ravi kumar Chaurasiya"/>
        <s v="GANESH"/>
        <s v="Chinnadurai Kandasamy"/>
        <s v="Hariharan R"/>
        <s v="Rajaselvan"/>
        <s v="Pandiyan"/>
        <s v="Vishakh"/>
        <s v="Abishake M"/>
        <s v="Tendulkar Venkatachalam"/>
        <s v="Ashraf"/>
        <s v="Srinath"/>
        <s v="Nishesh"/>
        <s v="Amarnath  R"/>
        <s v="Pradhap"/>
        <s v="Prasanth P"/>
        <s v="Dhatchanamoorthy R"/>
        <s v="Ajay"/>
        <s v="ANAND"/>
        <s v="Selvaraj V"/>
        <s v="Viswasurya V"/>
        <s v="Thirumoorthy Selvaraj"/>
        <s v="Boopathi Ajay Paramasivam" u="1"/>
        <s v="Purushothaman S" u="1"/>
        <s v="Nagindra" u="1"/>
        <s v="Justin R" u="1"/>
        <s v="Sakthi M" u="1"/>
        <s v="Ajith Kumar" u="1"/>
        <s v="Harijana Thindappa" u="1"/>
        <s v="Sandeepa  M R" u="1"/>
        <s v="Sakthi Murugan" u="1"/>
        <s v="Babu M" u="1"/>
        <s v="Annavarapu Veda Sai Maharshi" u="1"/>
      </sharedItems>
    </cacheField>
    <cacheField name="machine count" numFmtId="0">
      <sharedItems containsString="0" containsBlank="1" containsNumber="1" containsInteger="1" minValue="1" maxValue="21"/>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188.721741203706" createdVersion="6" refreshedVersion="6" minRefreshableVersion="3" recordCount="84">
  <cacheSource type="worksheet">
    <worksheetSource ref="A1:N1048576" sheet="Sheet1" r:id="rId2"/>
  </cacheSource>
  <cacheFields count="14">
    <cacheField name="Department" numFmtId="0">
      <sharedItems containsBlank="1" count="9">
        <s v="IMAGING"/>
        <s v="SOLDERMASK"/>
        <s v="ML PRESSING"/>
        <s v="WET PROCESS"/>
        <s v="SURFACE FINISH"/>
        <s v="AOI"/>
        <m/>
        <s v="DRILLING"/>
        <s v="ROUTING"/>
      </sharedItems>
    </cacheField>
    <cacheField name="Supplier" numFmtId="0">
      <sharedItems containsBlank="1" count="12">
        <s v="UCE"/>
        <m/>
        <s v="CIMS"/>
        <s v="DYNACHEM"/>
        <s v="ALTIX"/>
        <s v="SCHMOLL"/>
        <s v="KEWEI"/>
        <s v="TAIYO"/>
        <s v="GP"/>
        <s v="LAUFFER"/>
        <s v="ANDERSON"/>
        <s v="PENTAGAL"/>
      </sharedItems>
    </cacheField>
    <cacheField name="Description" numFmtId="0">
      <sharedItems containsBlank="1" count="49">
        <s v="PRECLEAN MACHINE FOR PHOTO"/>
        <s v="DES"/>
        <s v="PRE CLEAN MACHINE SM"/>
        <s v=" SM DEVELOPING "/>
        <s v="BOND FILM"/>
        <s v="DEBURRING LINE WITH ULTRASONIC CLEANING AND LOADER / UNLODER"/>
        <s v="HOIST TYPE DESMEAR + PTH LINE"/>
        <s v="VIAKING LINE FOR DIRECT METALIZATION WITH LOADER &amp; UNLOADER"/>
        <s v="AUTOMATIC VCP PANEL PLATING LINE"/>
        <s v="PLASMA DESMEAR MACHINE"/>
        <m/>
        <s v="FINAL CLEANING LINE"/>
        <s v="OSP LINE"/>
        <s v="DVCP PATTERN PLATING LINE"/>
        <s v="DEBURR + DESMEAR + PTH MACHINE"/>
        <s v="SES MACHINE "/>
        <s v="INNER LAYER PRETREATMENT MACHINE"/>
        <s v="INNER LAYER DES MACHINE"/>
        <s v="DRY FILM DEVELOPER MACHINE"/>
        <s v="SST PLATE CLEANING MACHINE"/>
        <s v=" IMMERSION TIN "/>
        <s v=" IMMERSION GOLD PRE-TREATMENT"/>
        <s v="IMMERSION GOLD POST-TREATMENT"/>
        <s v=" HAL PRE TREATMENT MACHINE "/>
        <s v="HAL POS TTREATMENT MACHINE "/>
        <s v="LDD BONDFILM MACHINE"/>
        <s v="OXIDE REMOVAL MACHINE"/>
        <s v="AOI SCAN-1"/>
        <s v="AOI SCAN-2"/>
        <s v="AOI VERI-1"/>
        <s v="AOI VERI-2"/>
        <s v="AOI VERI-3"/>
        <s v="AOI VERI-4"/>
        <s v="DRY FILM LAMINATOR"/>
        <s v="  ALTIX"/>
        <s v="  MDI"/>
        <s v="SCREEN MAKING EQUIPMENT"/>
        <s v="SM PRINTING "/>
        <s v="TACK DRYING OVEN "/>
        <s v="ALTIX MACHINE EXPOSING  "/>
        <s v="SCHMOLL MDI EXPOSING "/>
        <s v="FINAL CURING OVENS"/>
        <s v="LEGEND PRINTING - INKJET"/>
        <s v="LEGEND PRINTING - MANUAL"/>
        <s v="LAUFFER PRESS"/>
        <s v="CNC DRILLING"/>
        <s v="CNC ROUTING"/>
        <s v="HASL"/>
        <s v="CNC DRILLING X-RAY" u="1"/>
      </sharedItems>
    </cacheField>
    <cacheField name="Days for completion" numFmtId="0">
      <sharedItems containsString="0" containsBlank="1" containsNumber="1" containsInteger="1" minValue="1" maxValue="60"/>
    </cacheField>
    <cacheField name="Start Date" numFmtId="0">
      <sharedItems containsNonDate="0" containsDate="1" containsString="0" containsBlank="1" minDate="2026-06-01T00:00:00" maxDate="2026-08-11T00:00:00"/>
    </cacheField>
    <cacheField name="End date" numFmtId="0">
      <sharedItems containsNonDate="0" containsDate="1" containsString="0" containsBlank="1" minDate="2026-06-16T00:00:00" maxDate="2026-10-03T00:00:00"/>
    </cacheField>
    <cacheField name="Team Lead" numFmtId="0">
      <sharedItems containsBlank="1" count="11">
        <s v="Rithik S"/>
        <s v="Kathirvel S"/>
        <s v="Sakthivel Annadurai"/>
        <s v="Suthakar P"/>
        <m/>
        <s v="Avinash B M"/>
        <s v="Ragul R"/>
        <s v="Rajaselvan"/>
        <s v="Pandiyan" u="1"/>
        <s v="Karmugil P" u="1"/>
        <s v="Vishakh" u="1"/>
      </sharedItems>
    </cacheField>
    <cacheField name="Primary" numFmtId="0">
      <sharedItems containsBlank="1" count="25">
        <s v="Karmugil P"/>
        <s v="Kathirvel S"/>
        <s v="Sakthivel Annadurai"/>
        <s v="Balamurugan Eswaramoorthy"/>
        <s v="Devis V"/>
        <m/>
        <s v="Suresh Rathinam"/>
        <s v="Selvaraj V"/>
        <s v="Varshini D"/>
        <s v="Sanjay Kumar S"/>
        <s v="Prakash Sakthivel "/>
        <s v="Chinnadurai Kandasamy"/>
        <s v="Parthiban M"/>
        <s v="Mohan Raj M"/>
        <s v="Santhoshkumar R"/>
        <s v="Pandiyan"/>
        <s v="Rajaselvan"/>
        <s v="Nishesh"/>
        <s v="Vishakh"/>
        <s v="Ajay"/>
        <s v="Suthakar P" u="1"/>
        <s v="Rithik S" u="1"/>
        <s v="Kannan K R" u="1"/>
        <s v="Suryaprakash M" u="1"/>
        <s v="Avinash B M" u="1"/>
      </sharedItems>
    </cacheField>
    <cacheField name="Secondary" numFmtId="0">
      <sharedItems containsBlank="1" count="53">
        <s v="Mullaikumaran Saravanan"/>
        <s v="Hariharan S"/>
        <s v="Vinoth V"/>
        <s v="Ajith Kumar"/>
        <s v="Chinnadurai Kandasamy"/>
        <s v="Boopathiajay"/>
        <s v="Harjana Thindappa"/>
        <s v="Suryaprakash M"/>
        <s v="Kannan K R"/>
        <s v="Rohit Pradhan"/>
        <m/>
        <s v="Viswasurya V"/>
        <s v="Thirumoorthy Selvaraj"/>
        <s v="Soumya Ranjan Swain"/>
        <s v="Adhithya Ponnupayan"/>
        <s v="Santhosh P"/>
        <s v="Sudhagar I"/>
        <s v="Hariharan R"/>
        <s v="Saravanan M"/>
        <s v="Chandru D"/>
        <s v="Arjunan R"/>
        <s v="Shivan M"/>
        <s v="Anil Kumar C"/>
        <s v="Gokul D"/>
        <s v="Vishnuram G"/>
        <s v="Vignesh Dhakshnamoorthy "/>
        <s v="Vengadesh M"/>
        <s v="Nishanth P"/>
        <s v="Ravi kumar Chaurasiya"/>
        <s v="Dinesh D"/>
        <s v="John peter S"/>
        <s v="Mareeswaran R"/>
        <s v="Tendulkar Venkatachalam"/>
        <s v="Ashraf"/>
        <s v="Abishake M"/>
        <s v="Srinath"/>
        <s v="Dhatchanamoorthy R"/>
        <s v="Pradhap"/>
        <s v="Prasanth P"/>
        <s v="Amarnath  R"/>
        <s v="Mohan Raj M" u="1"/>
        <s v="Ajith Kumar M" u="1"/>
        <s v="Boopathi Ajay Paramasivam" u="1"/>
        <s v="Purushothaman S" u="1"/>
        <s v="Nagindra" u="1"/>
        <s v="Justin R" u="1"/>
        <s v="Sakthi M" u="1"/>
        <s v="Harijana Thindappa" u="1"/>
        <s v="Sandeepa  M R" u="1"/>
        <s v="Sakthi Murugan" u="1"/>
        <s v="Babu M" u="1"/>
        <s v="Santhoshkumar R" u="1"/>
        <s v="Annavarapu Veda Sai Maharshi" u="1"/>
      </sharedItems>
    </cacheField>
    <cacheField name="Tertiary" numFmtId="0">
      <sharedItems containsBlank="1"/>
    </cacheField>
    <cacheField name="Quaternary" numFmtId="0">
      <sharedItems containsNonDate="0" containsString="0" containsBlank="1"/>
    </cacheField>
    <cacheField name="Manpower count" numFmtId="0">
      <sharedItems containsString="0" containsBlank="1" containsNumber="1" containsInteger="1" minValue="1" maxValue="1"/>
    </cacheField>
    <cacheField name="Manpower" numFmtId="0">
      <sharedItems containsBlank="1" count="78">
        <s v="Rithik S"/>
        <s v="Karmugil P"/>
        <s v="Kathirvel S"/>
        <s v="Santhoshkumar R"/>
        <s v="Sakthivel Annadurai"/>
        <s v="Devis V"/>
        <s v="Balamurugan Eswaramoorthy"/>
        <s v="Suryaprakash M"/>
        <s v="Kannan K R"/>
        <s v="Suthakar P"/>
        <s v="Boopathiajay"/>
        <s v="Harjana Thindappa"/>
        <m/>
        <s v="Manoj "/>
        <s v="Rohit Pradhan"/>
        <s v="Suresh Rathinam"/>
        <s v="Avinash B M"/>
        <s v="Soumya Ranjan Swain"/>
        <s v="Mohan Raj M"/>
        <s v="Santhosh P"/>
        <s v="Sudhagar I"/>
        <s v="Shivan M"/>
        <s v="Sanjay Kumar S"/>
        <s v="Prakash Sakthivel "/>
        <s v="Chandru D"/>
        <s v="Saravanan M"/>
        <s v="Arjunan R"/>
        <s v="Varshini D"/>
        <s v="AMAL"/>
        <s v="Ragul R"/>
        <s v="Parthiban M"/>
        <s v="Anil Kumar C"/>
        <s v="Gokul D"/>
        <s v="Vishnuram G"/>
        <s v="KEERTHI"/>
        <s v="Vignesh Dhakshnamoorthy "/>
        <s v="Mullaikumaran Saravanan"/>
        <s v="Hariharan S"/>
        <s v="Adhithya Ponnupayan"/>
        <s v="Vengadesh M"/>
        <s v="Nishanth P"/>
        <s v="Vinoth V"/>
        <s v="John peter S"/>
        <s v="Mareeswaran R"/>
        <s v="Ajith Kumar M"/>
        <s v="Dinesh D"/>
        <s v="Ravi kumar Chaurasiya"/>
        <s v="GANESH"/>
        <s v="Chinnadurai Kandasamy"/>
        <s v="Hariharan R"/>
        <s v="Rajaselvan"/>
        <s v="Pandiyan"/>
        <s v="Vishakh"/>
        <s v="Abishake M"/>
        <s v="Tendulkar Venkatachalam"/>
        <s v="Ashraf"/>
        <s v="Srinath"/>
        <s v="Nishesh"/>
        <s v="Amarnath  R"/>
        <s v="Pradhap"/>
        <s v="Prasanth P"/>
        <s v="Dhatchanamoorthy R"/>
        <s v="Ajay"/>
        <s v="ANAND"/>
        <s v="Selvaraj V"/>
        <s v="Viswasurya V"/>
        <s v="Thirumoorthy Selvaraj"/>
        <s v="Boopathi Ajay Paramasivam" u="1"/>
        <s v="Purushothaman S" u="1"/>
        <s v="Nagindra" u="1"/>
        <s v="Justin R" u="1"/>
        <s v="Sakthi M" u="1"/>
        <s v="Ajith Kumar" u="1"/>
        <s v="Harijana Thindappa" u="1"/>
        <s v="Sandeepa  M R" u="1"/>
        <s v="Sakthi Murugan" u="1"/>
        <s v="Babu M" u="1"/>
        <s v="Annavarapu Veda Sai Maharshi" u="1"/>
      </sharedItems>
    </cacheField>
    <cacheField name="machine count" numFmtId="0">
      <sharedItems containsString="0" containsBlank="1" containsNumber="1" containsInteger="1" minValue="1" maxValue="21"/>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84">
  <r>
    <x v="0"/>
    <x v="0"/>
    <x v="0"/>
    <n v="19"/>
    <d v="2026-06-01T00:00:00"/>
    <d v="2026-06-20T00:00:00"/>
    <x v="0"/>
    <x v="0"/>
    <x v="0"/>
    <s v="Manoj "/>
    <m/>
    <n v="1"/>
    <x v="0"/>
    <n v="8"/>
  </r>
  <r>
    <x v="0"/>
    <x v="0"/>
    <x v="1"/>
    <n v="15"/>
    <d v="2026-06-01T00:00:00"/>
    <d v="2026-06-16T00:00:00"/>
    <x v="0"/>
    <x v="0"/>
    <x v="1"/>
    <s v="Manoj "/>
    <m/>
    <n v="1"/>
    <x v="1"/>
    <n v="5"/>
  </r>
  <r>
    <x v="1"/>
    <x v="0"/>
    <x v="2"/>
    <n v="18"/>
    <d v="2026-06-06T00:00:00"/>
    <d v="2026-06-24T00:00:00"/>
    <x v="1"/>
    <x v="1"/>
    <x v="2"/>
    <s v="GANESH"/>
    <m/>
    <n v="1"/>
    <x v="2"/>
    <n v="18"/>
  </r>
  <r>
    <x v="1"/>
    <x v="0"/>
    <x v="3"/>
    <n v="14"/>
    <d v="2026-06-10T00:00:00"/>
    <d v="2026-06-24T00:00:00"/>
    <x v="1"/>
    <x v="1"/>
    <x v="3"/>
    <s v="GANESH"/>
    <m/>
    <n v="1"/>
    <x v="3"/>
    <n v="2"/>
  </r>
  <r>
    <x v="2"/>
    <x v="0"/>
    <x v="4"/>
    <n v="19"/>
    <d v="2026-06-01T00:00:00"/>
    <d v="2026-06-20T00:00:00"/>
    <x v="2"/>
    <x v="2"/>
    <x v="4"/>
    <s v="AMAL"/>
    <m/>
    <n v="1"/>
    <x v="4"/>
    <n v="7"/>
  </r>
  <r>
    <x v="3"/>
    <x v="0"/>
    <x v="5"/>
    <n v="14"/>
    <d v="2026-06-13T00:00:00"/>
    <d v="2026-06-27T00:00:00"/>
    <x v="3"/>
    <x v="3"/>
    <x v="5"/>
    <s v="Manoj "/>
    <m/>
    <n v="1"/>
    <x v="5"/>
    <n v="4"/>
  </r>
  <r>
    <x v="3"/>
    <x v="0"/>
    <x v="6"/>
    <n v="14"/>
    <d v="2026-07-04T00:00:00"/>
    <d v="2026-07-18T00:00:00"/>
    <x v="3"/>
    <x v="4"/>
    <x v="6"/>
    <s v="Manoj "/>
    <m/>
    <n v="1"/>
    <x v="6"/>
    <n v="4"/>
  </r>
  <r>
    <x v="3"/>
    <x v="0"/>
    <x v="7"/>
    <n v="15"/>
    <d v="2026-06-01T00:00:00"/>
    <d v="2026-06-16T00:00:00"/>
    <x v="3"/>
    <x v="3"/>
    <x v="7"/>
    <s v="Manoj "/>
    <m/>
    <n v="1"/>
    <x v="7"/>
    <n v="2"/>
  </r>
  <r>
    <x v="3"/>
    <x v="0"/>
    <x v="8"/>
    <n v="45"/>
    <d v="2026-06-01T00:00:00"/>
    <d v="2026-07-16T00:00:00"/>
    <x v="3"/>
    <x v="3"/>
    <x v="8"/>
    <s v="Manoj "/>
    <m/>
    <n v="1"/>
    <x v="8"/>
    <n v="2"/>
  </r>
  <r>
    <x v="3"/>
    <x v="0"/>
    <x v="9"/>
    <n v="5"/>
    <d v="2026-07-04T00:00:00"/>
    <d v="2026-07-09T00:00:00"/>
    <x v="3"/>
    <x v="4"/>
    <x v="9"/>
    <s v="Manoj "/>
    <m/>
    <n v="1"/>
    <x v="9"/>
    <n v="8"/>
  </r>
  <r>
    <x v="3"/>
    <x v="1"/>
    <x v="10"/>
    <m/>
    <m/>
    <m/>
    <x v="4"/>
    <x v="5"/>
    <x v="10"/>
    <m/>
    <m/>
    <n v="1"/>
    <x v="10"/>
    <n v="1"/>
  </r>
  <r>
    <x v="3"/>
    <x v="1"/>
    <x v="10"/>
    <m/>
    <m/>
    <m/>
    <x v="4"/>
    <x v="5"/>
    <x v="10"/>
    <m/>
    <m/>
    <n v="1"/>
    <x v="11"/>
    <n v="1"/>
  </r>
  <r>
    <x v="3"/>
    <x v="1"/>
    <x v="10"/>
    <m/>
    <m/>
    <m/>
    <x v="4"/>
    <x v="5"/>
    <x v="10"/>
    <m/>
    <m/>
    <m/>
    <x v="12"/>
    <m/>
  </r>
  <r>
    <x v="3"/>
    <x v="1"/>
    <x v="10"/>
    <m/>
    <m/>
    <m/>
    <x v="4"/>
    <x v="5"/>
    <x v="10"/>
    <m/>
    <m/>
    <m/>
    <x v="12"/>
    <m/>
  </r>
  <r>
    <x v="3"/>
    <x v="1"/>
    <x v="10"/>
    <m/>
    <m/>
    <m/>
    <x v="4"/>
    <x v="5"/>
    <x v="10"/>
    <m/>
    <m/>
    <n v="1"/>
    <x v="13"/>
    <n v="16"/>
  </r>
  <r>
    <x v="3"/>
    <x v="1"/>
    <x v="10"/>
    <m/>
    <m/>
    <m/>
    <x v="4"/>
    <x v="5"/>
    <x v="10"/>
    <m/>
    <m/>
    <n v="1"/>
    <x v="14"/>
    <n v="1"/>
  </r>
  <r>
    <x v="4"/>
    <x v="0"/>
    <x v="11"/>
    <n v="8"/>
    <d v="2026-06-19T00:00:00"/>
    <d v="2026-06-27T00:00:00"/>
    <x v="5"/>
    <x v="6"/>
    <x v="11"/>
    <s v="AMAL"/>
    <m/>
    <n v="1"/>
    <x v="15"/>
    <n v="2"/>
  </r>
  <r>
    <x v="4"/>
    <x v="0"/>
    <x v="12"/>
    <n v="11"/>
    <d v="2026-06-16T00:00:00"/>
    <d v="2026-06-27T00:00:00"/>
    <x v="5"/>
    <x v="7"/>
    <x v="12"/>
    <s v="AMAL"/>
    <m/>
    <n v="1"/>
    <x v="16"/>
    <n v="8"/>
  </r>
  <r>
    <x v="3"/>
    <x v="0"/>
    <x v="13"/>
    <n v="60"/>
    <d v="2026-08-03T00:00:00"/>
    <d v="2026-10-02T00:00:00"/>
    <x v="3"/>
    <x v="4"/>
    <x v="8"/>
    <s v="Manoj "/>
    <m/>
    <m/>
    <x v="12"/>
    <m/>
  </r>
  <r>
    <x v="3"/>
    <x v="0"/>
    <x v="14"/>
    <n v="45"/>
    <d v="2026-07-13T00:00:00"/>
    <d v="2026-08-27T00:00:00"/>
    <x v="3"/>
    <x v="4"/>
    <x v="7"/>
    <s v="Manoj "/>
    <m/>
    <m/>
    <x v="12"/>
    <m/>
  </r>
  <r>
    <x v="3"/>
    <x v="0"/>
    <x v="15"/>
    <n v="18"/>
    <d v="2026-07-13T00:00:00"/>
    <d v="2026-08-01T00:00:00"/>
    <x v="3"/>
    <x v="3"/>
    <x v="13"/>
    <s v="Manoj "/>
    <m/>
    <n v="1"/>
    <x v="17"/>
    <n v="1"/>
  </r>
  <r>
    <x v="0"/>
    <x v="0"/>
    <x v="16"/>
    <n v="12"/>
    <d v="2026-07-13T00:00:00"/>
    <d v="2026-07-25T00:00:00"/>
    <x v="0"/>
    <x v="0"/>
    <x v="14"/>
    <s v="Manoj "/>
    <m/>
    <n v="1"/>
    <x v="18"/>
    <n v="3"/>
  </r>
  <r>
    <x v="0"/>
    <x v="0"/>
    <x v="17"/>
    <n v="15"/>
    <d v="2026-07-13T00:00:00"/>
    <d v="2026-07-28T00:00:00"/>
    <x v="0"/>
    <x v="0"/>
    <x v="15"/>
    <s v="Manoj "/>
    <m/>
    <n v="1"/>
    <x v="19"/>
    <n v="1"/>
  </r>
  <r>
    <x v="0"/>
    <x v="0"/>
    <x v="18"/>
    <n v="9"/>
    <d v="2026-07-17T00:00:00"/>
    <d v="2026-07-29T00:00:00"/>
    <x v="0"/>
    <x v="0"/>
    <x v="16"/>
    <s v="Manoj "/>
    <m/>
    <n v="1"/>
    <x v="20"/>
    <n v="1"/>
  </r>
  <r>
    <x v="2"/>
    <x v="0"/>
    <x v="19"/>
    <n v="8"/>
    <d v="2026-07-18T00:00:00"/>
    <d v="2026-07-31T00:00:00"/>
    <x v="2"/>
    <x v="8"/>
    <x v="17"/>
    <s v="AMAL"/>
    <m/>
    <n v="1"/>
    <x v="21"/>
    <n v="1"/>
  </r>
  <r>
    <x v="4"/>
    <x v="0"/>
    <x v="20"/>
    <n v="18"/>
    <d v="2026-07-20T00:00:00"/>
    <d v="2026-08-08T00:00:00"/>
    <x v="5"/>
    <x v="9"/>
    <x v="18"/>
    <s v="AMAL"/>
    <m/>
    <n v="1"/>
    <x v="22"/>
    <n v="2"/>
  </r>
  <r>
    <x v="4"/>
    <x v="0"/>
    <x v="21"/>
    <n v="8"/>
    <d v="2026-07-21T00:00:00"/>
    <d v="2026-08-01T00:00:00"/>
    <x v="5"/>
    <x v="6"/>
    <x v="19"/>
    <s v="AMAL"/>
    <m/>
    <n v="1"/>
    <x v="23"/>
    <n v="2"/>
  </r>
  <r>
    <x v="4"/>
    <x v="0"/>
    <x v="22"/>
    <n v="7"/>
    <d v="2026-07-22T00:00:00"/>
    <d v="2026-08-03T00:00:00"/>
    <x v="5"/>
    <x v="10"/>
    <x v="18"/>
    <s v="AMAL"/>
    <m/>
    <n v="1"/>
    <x v="24"/>
    <n v="1"/>
  </r>
  <r>
    <x v="4"/>
    <x v="0"/>
    <x v="23"/>
    <n v="10"/>
    <d v="2026-07-24T00:00:00"/>
    <d v="2026-08-05T00:00:00"/>
    <x v="5"/>
    <x v="9"/>
    <x v="20"/>
    <s v="AMAL"/>
    <m/>
    <n v="1"/>
    <x v="25"/>
    <n v="3"/>
  </r>
  <r>
    <x v="4"/>
    <x v="0"/>
    <x v="24"/>
    <n v="10"/>
    <d v="2026-07-25T00:00:00"/>
    <d v="2026-08-06T00:00:00"/>
    <x v="5"/>
    <x v="10"/>
    <x v="11"/>
    <s v="AMAL"/>
    <m/>
    <n v="1"/>
    <x v="26"/>
    <n v="1"/>
  </r>
  <r>
    <x v="2"/>
    <x v="0"/>
    <x v="25"/>
    <n v="16"/>
    <d v="2026-07-28T00:00:00"/>
    <d v="2026-08-13T00:00:00"/>
    <x v="2"/>
    <x v="11"/>
    <x v="21"/>
    <s v="AMAL"/>
    <m/>
    <n v="1"/>
    <x v="27"/>
    <n v="1"/>
  </r>
  <r>
    <x v="2"/>
    <x v="0"/>
    <x v="26"/>
    <n v="9"/>
    <d v="2026-07-29T00:00:00"/>
    <d v="2026-08-08T00:00:00"/>
    <x v="2"/>
    <x v="11"/>
    <x v="17"/>
    <s v="AMAL"/>
    <m/>
    <n v="1"/>
    <x v="28"/>
    <n v="13"/>
  </r>
  <r>
    <x v="5"/>
    <x v="2"/>
    <x v="27"/>
    <n v="2"/>
    <d v="2026-07-13T00:00:00"/>
    <d v="2026-07-15T00:00:00"/>
    <x v="6"/>
    <x v="12"/>
    <x v="22"/>
    <s v="KEERTHI"/>
    <m/>
    <n v="1"/>
    <x v="29"/>
    <n v="6"/>
  </r>
  <r>
    <x v="5"/>
    <x v="2"/>
    <x v="28"/>
    <n v="2"/>
    <d v="2026-07-16T00:00:00"/>
    <d v="2026-07-18T00:00:00"/>
    <x v="6"/>
    <x v="12"/>
    <x v="23"/>
    <s v="KEERTHI"/>
    <m/>
    <n v="1"/>
    <x v="30"/>
    <n v="6"/>
  </r>
  <r>
    <x v="5"/>
    <x v="2"/>
    <x v="29"/>
    <n v="2"/>
    <d v="2026-07-20T00:00:00"/>
    <d v="2026-07-22T00:00:00"/>
    <x v="6"/>
    <x v="12"/>
    <x v="24"/>
    <s v="KEERTHI"/>
    <m/>
    <n v="1"/>
    <x v="31"/>
    <n v="2"/>
  </r>
  <r>
    <x v="5"/>
    <x v="2"/>
    <x v="30"/>
    <n v="2"/>
    <d v="2026-07-23T00:00:00"/>
    <d v="2026-07-25T00:00:00"/>
    <x v="6"/>
    <x v="12"/>
    <x v="25"/>
    <s v="KEERTHI"/>
    <m/>
    <n v="1"/>
    <x v="32"/>
    <n v="2"/>
  </r>
  <r>
    <x v="5"/>
    <x v="2"/>
    <x v="31"/>
    <n v="2"/>
    <d v="2026-07-27T00:00:00"/>
    <d v="2026-07-29T00:00:00"/>
    <x v="6"/>
    <x v="12"/>
    <x v="22"/>
    <s v="KEERTHI"/>
    <m/>
    <n v="1"/>
    <x v="33"/>
    <n v="1"/>
  </r>
  <r>
    <x v="5"/>
    <x v="1"/>
    <x v="10"/>
    <m/>
    <m/>
    <m/>
    <x v="4"/>
    <x v="5"/>
    <x v="10"/>
    <m/>
    <m/>
    <n v="1"/>
    <x v="34"/>
    <n v="13"/>
  </r>
  <r>
    <x v="5"/>
    <x v="2"/>
    <x v="32"/>
    <n v="2"/>
    <d v="2026-07-30T00:00:00"/>
    <d v="2026-08-01T00:00:00"/>
    <x v="6"/>
    <x v="12"/>
    <x v="23"/>
    <s v="KEERTHI"/>
    <m/>
    <n v="1"/>
    <x v="35"/>
    <n v="1"/>
  </r>
  <r>
    <x v="0"/>
    <x v="3"/>
    <x v="33"/>
    <n v="8"/>
    <d v="2026-06-29T00:00:00"/>
    <d v="2026-07-07T00:00:00"/>
    <x v="0"/>
    <x v="13"/>
    <x v="14"/>
    <s v="Manoj "/>
    <m/>
    <n v="1"/>
    <x v="36"/>
    <n v="1"/>
  </r>
  <r>
    <x v="0"/>
    <x v="4"/>
    <x v="34"/>
    <n v="8"/>
    <d v="2026-07-27T00:00:00"/>
    <d v="2026-08-04T00:00:00"/>
    <x v="0"/>
    <x v="13"/>
    <x v="26"/>
    <s v="Manoj "/>
    <m/>
    <n v="1"/>
    <x v="37"/>
    <n v="1"/>
  </r>
  <r>
    <x v="0"/>
    <x v="5"/>
    <x v="35"/>
    <n v="5"/>
    <d v="2026-07-06T00:00:00"/>
    <d v="2026-07-11T00:00:00"/>
    <x v="0"/>
    <x v="13"/>
    <x v="27"/>
    <s v="Manoj "/>
    <m/>
    <n v="1"/>
    <x v="38"/>
    <n v="2"/>
  </r>
  <r>
    <x v="0"/>
    <x v="1"/>
    <x v="10"/>
    <m/>
    <m/>
    <m/>
    <x v="4"/>
    <x v="5"/>
    <x v="10"/>
    <m/>
    <m/>
    <n v="1"/>
    <x v="39"/>
    <n v="1"/>
  </r>
  <r>
    <x v="6"/>
    <x v="1"/>
    <x v="10"/>
    <m/>
    <m/>
    <m/>
    <x v="4"/>
    <x v="5"/>
    <x v="10"/>
    <m/>
    <m/>
    <n v="1"/>
    <x v="13"/>
    <n v="16"/>
  </r>
  <r>
    <x v="0"/>
    <x v="1"/>
    <x v="10"/>
    <m/>
    <m/>
    <m/>
    <x v="4"/>
    <x v="5"/>
    <x v="10"/>
    <m/>
    <m/>
    <n v="1"/>
    <x v="40"/>
    <n v="1"/>
  </r>
  <r>
    <x v="1"/>
    <x v="6"/>
    <x v="36"/>
    <n v="5"/>
    <d v="2026-07-14T00:00:00"/>
    <d v="2026-07-19T00:00:00"/>
    <x v="1"/>
    <x v="1"/>
    <x v="28"/>
    <s v="GANESH"/>
    <m/>
    <n v="1"/>
    <x v="41"/>
    <n v="1"/>
  </r>
  <r>
    <x v="1"/>
    <x v="7"/>
    <x v="37"/>
    <n v="3"/>
    <d v="2026-07-13T00:00:00"/>
    <d v="2026-07-16T00:00:00"/>
    <x v="1"/>
    <x v="1"/>
    <x v="29"/>
    <s v="GANESH"/>
    <m/>
    <n v="1"/>
    <x v="42"/>
    <n v="2"/>
  </r>
  <r>
    <x v="1"/>
    <x v="8"/>
    <x v="38"/>
    <n v="4"/>
    <d v="2026-07-20T00:00:00"/>
    <d v="2026-07-24T00:00:00"/>
    <x v="1"/>
    <x v="1"/>
    <x v="29"/>
    <s v="GANESH"/>
    <m/>
    <n v="1"/>
    <x v="43"/>
    <n v="1"/>
  </r>
  <r>
    <x v="1"/>
    <x v="4"/>
    <x v="39"/>
    <n v="6"/>
    <d v="2026-08-10T00:00:00"/>
    <d v="2026-08-16T00:00:00"/>
    <x v="1"/>
    <x v="1"/>
    <x v="30"/>
    <s v="GANESH"/>
    <m/>
    <n v="1"/>
    <x v="44"/>
    <m/>
  </r>
  <r>
    <x v="1"/>
    <x v="5"/>
    <x v="40"/>
    <n v="5"/>
    <d v="2026-07-13T00:00:00"/>
    <d v="2026-07-18T00:00:00"/>
    <x v="1"/>
    <x v="1"/>
    <x v="30"/>
    <s v="GANESH"/>
    <m/>
    <n v="1"/>
    <x v="45"/>
    <n v="2"/>
  </r>
  <r>
    <x v="1"/>
    <x v="8"/>
    <x v="41"/>
    <n v="4"/>
    <d v="2026-07-27T00:00:00"/>
    <d v="2026-07-31T00:00:00"/>
    <x v="1"/>
    <x v="1"/>
    <x v="3"/>
    <s v="GANESH"/>
    <m/>
    <n v="1"/>
    <x v="46"/>
    <n v="2"/>
  </r>
  <r>
    <x v="1"/>
    <x v="6"/>
    <x v="42"/>
    <n v="4"/>
    <d v="2026-07-30T00:00:00"/>
    <d v="2026-08-03T00:00:00"/>
    <x v="1"/>
    <x v="14"/>
    <x v="28"/>
    <s v="GANESH"/>
    <m/>
    <n v="1"/>
    <x v="47"/>
    <n v="10"/>
  </r>
  <r>
    <x v="1"/>
    <x v="6"/>
    <x v="43"/>
    <n v="4"/>
    <d v="2026-07-10T00:00:00"/>
    <d v="2026-07-14T00:00:00"/>
    <x v="1"/>
    <x v="14"/>
    <x v="31"/>
    <s v="GANESH"/>
    <m/>
    <m/>
    <x v="12"/>
    <m/>
  </r>
  <r>
    <x v="2"/>
    <x v="9"/>
    <x v="44"/>
    <n v="24"/>
    <d v="2026-06-28T00:00:00"/>
    <d v="2026-07-22T00:00:00"/>
    <x v="2"/>
    <x v="2"/>
    <x v="4"/>
    <s v="AMAL"/>
    <m/>
    <n v="1"/>
    <x v="48"/>
    <n v="4"/>
  </r>
  <r>
    <x v="2"/>
    <x v="1"/>
    <x v="10"/>
    <m/>
    <m/>
    <m/>
    <x v="4"/>
    <x v="5"/>
    <x v="10"/>
    <m/>
    <m/>
    <n v="1"/>
    <x v="49"/>
    <n v="2"/>
  </r>
  <r>
    <x v="7"/>
    <x v="5"/>
    <x v="45"/>
    <n v="2"/>
    <d v="2026-06-29T00:00:00"/>
    <d v="2026-07-01T00:00:00"/>
    <x v="7"/>
    <x v="15"/>
    <x v="32"/>
    <s v="KEERTHI"/>
    <m/>
    <n v="1"/>
    <x v="50"/>
    <n v="21"/>
  </r>
  <r>
    <x v="7"/>
    <x v="5"/>
    <x v="45"/>
    <n v="2"/>
    <d v="2026-07-02T00:00:00"/>
    <d v="2026-07-04T00:00:00"/>
    <x v="7"/>
    <x v="16"/>
    <x v="33"/>
    <s v="KEERTHI"/>
    <m/>
    <n v="1"/>
    <x v="51"/>
    <n v="5"/>
  </r>
  <r>
    <x v="7"/>
    <x v="5"/>
    <x v="45"/>
    <n v="2"/>
    <d v="2026-07-05T00:00:00"/>
    <d v="2026-07-07T00:00:00"/>
    <x v="7"/>
    <x v="17"/>
    <x v="34"/>
    <s v="KEERTHI"/>
    <m/>
    <n v="1"/>
    <x v="52"/>
    <n v="4"/>
  </r>
  <r>
    <x v="7"/>
    <x v="5"/>
    <x v="45"/>
    <n v="2"/>
    <d v="2026-07-08T00:00:00"/>
    <d v="2026-07-10T00:00:00"/>
    <x v="7"/>
    <x v="18"/>
    <x v="35"/>
    <s v="KEERTHI"/>
    <m/>
    <n v="1"/>
    <x v="53"/>
    <n v="2"/>
  </r>
  <r>
    <x v="7"/>
    <x v="5"/>
    <x v="45"/>
    <n v="2"/>
    <d v="2026-07-11T00:00:00"/>
    <d v="2026-07-13T00:00:00"/>
    <x v="7"/>
    <x v="17"/>
    <x v="34"/>
    <s v="KEERTHI"/>
    <m/>
    <n v="1"/>
    <x v="54"/>
    <n v="2"/>
  </r>
  <r>
    <x v="7"/>
    <x v="5"/>
    <x v="45"/>
    <n v="2"/>
    <d v="2026-07-14T00:00:00"/>
    <d v="2026-07-16T00:00:00"/>
    <x v="7"/>
    <x v="15"/>
    <x v="32"/>
    <s v="KEERTHI"/>
    <m/>
    <n v="1"/>
    <x v="55"/>
    <n v="2"/>
  </r>
  <r>
    <x v="7"/>
    <x v="1"/>
    <x v="10"/>
    <m/>
    <m/>
    <m/>
    <x v="4"/>
    <x v="5"/>
    <x v="10"/>
    <m/>
    <m/>
    <n v="1"/>
    <x v="34"/>
    <n v="13"/>
  </r>
  <r>
    <x v="7"/>
    <x v="1"/>
    <x v="10"/>
    <m/>
    <m/>
    <m/>
    <x v="4"/>
    <x v="5"/>
    <x v="10"/>
    <m/>
    <m/>
    <n v="1"/>
    <x v="56"/>
    <n v="1"/>
  </r>
  <r>
    <x v="7"/>
    <x v="1"/>
    <x v="10"/>
    <m/>
    <m/>
    <m/>
    <x v="4"/>
    <x v="5"/>
    <x v="10"/>
    <m/>
    <m/>
    <n v="1"/>
    <x v="57"/>
    <n v="2"/>
  </r>
  <r>
    <x v="7"/>
    <x v="5"/>
    <x v="45"/>
    <n v="3"/>
    <d v="2026-07-17T00:00:00"/>
    <d v="2026-07-20T00:00:00"/>
    <x v="7"/>
    <x v="18"/>
    <x v="33"/>
    <s v="KEERTHI"/>
    <m/>
    <m/>
    <x v="12"/>
    <m/>
  </r>
  <r>
    <x v="8"/>
    <x v="10"/>
    <x v="46"/>
    <n v="2"/>
    <d v="2026-07-06T00:00:00"/>
    <d v="2026-07-08T00:00:00"/>
    <x v="7"/>
    <x v="16"/>
    <x v="36"/>
    <s v="ANAND"/>
    <m/>
    <m/>
    <x v="12"/>
    <m/>
  </r>
  <r>
    <x v="8"/>
    <x v="10"/>
    <x v="46"/>
    <n v="1"/>
    <d v="2026-07-09T00:00:00"/>
    <d v="2026-07-10T00:00:00"/>
    <x v="7"/>
    <x v="15"/>
    <x v="37"/>
    <s v="ANAND"/>
    <m/>
    <n v="1"/>
    <x v="58"/>
    <n v="2"/>
  </r>
  <r>
    <x v="8"/>
    <x v="10"/>
    <x v="46"/>
    <n v="2"/>
    <d v="2026-07-11T00:00:00"/>
    <d v="2026-07-13T00:00:00"/>
    <x v="7"/>
    <x v="19"/>
    <x v="38"/>
    <s v="ANAND"/>
    <m/>
    <n v="1"/>
    <x v="59"/>
    <n v="3"/>
  </r>
  <r>
    <x v="8"/>
    <x v="10"/>
    <x v="46"/>
    <n v="1"/>
    <d v="2026-07-14T00:00:00"/>
    <d v="2026-07-15T00:00:00"/>
    <x v="7"/>
    <x v="18"/>
    <x v="36"/>
    <s v="ANAND"/>
    <m/>
    <n v="1"/>
    <x v="60"/>
    <n v="2"/>
  </r>
  <r>
    <x v="8"/>
    <x v="10"/>
    <x v="46"/>
    <n v="1"/>
    <d v="2026-07-16T00:00:00"/>
    <d v="2026-07-17T00:00:00"/>
    <x v="7"/>
    <x v="19"/>
    <x v="39"/>
    <s v="ANAND"/>
    <m/>
    <n v="1"/>
    <x v="61"/>
    <n v="4"/>
  </r>
  <r>
    <x v="8"/>
    <x v="10"/>
    <x v="46"/>
    <n v="2"/>
    <d v="2026-07-18T00:00:00"/>
    <d v="2026-07-20T00:00:00"/>
    <x v="7"/>
    <x v="15"/>
    <x v="37"/>
    <s v="ANAND"/>
    <m/>
    <n v="1"/>
    <x v="62"/>
    <n v="4"/>
  </r>
  <r>
    <x v="8"/>
    <x v="10"/>
    <x v="46"/>
    <n v="1"/>
    <d v="2026-07-21T00:00:00"/>
    <d v="2026-07-22T00:00:00"/>
    <x v="7"/>
    <x v="19"/>
    <x v="38"/>
    <s v="ANAND"/>
    <m/>
    <n v="1"/>
    <x v="63"/>
    <n v="11"/>
  </r>
  <r>
    <x v="8"/>
    <x v="10"/>
    <x v="46"/>
    <n v="1"/>
    <d v="2026-07-23T00:00:00"/>
    <d v="2026-07-24T00:00:00"/>
    <x v="7"/>
    <x v="18"/>
    <x v="36"/>
    <s v="ANAND"/>
    <m/>
    <m/>
    <x v="12"/>
    <m/>
  </r>
  <r>
    <x v="8"/>
    <x v="10"/>
    <x v="46"/>
    <n v="2"/>
    <d v="2026-07-25T00:00:00"/>
    <d v="2026-07-27T00:00:00"/>
    <x v="7"/>
    <x v="16"/>
    <x v="39"/>
    <s v="ANAND"/>
    <m/>
    <m/>
    <x v="12"/>
    <m/>
  </r>
  <r>
    <x v="8"/>
    <x v="10"/>
    <x v="46"/>
    <n v="1"/>
    <d v="2026-07-28T00:00:00"/>
    <d v="2026-07-29T00:00:00"/>
    <x v="7"/>
    <x v="15"/>
    <x v="37"/>
    <s v="ANAND"/>
    <m/>
    <m/>
    <x v="12"/>
    <m/>
  </r>
  <r>
    <x v="8"/>
    <x v="10"/>
    <x v="46"/>
    <n v="1"/>
    <d v="2026-07-30T00:00:00"/>
    <d v="2026-07-31T00:00:00"/>
    <x v="7"/>
    <x v="19"/>
    <x v="36"/>
    <s v="ANAND"/>
    <m/>
    <m/>
    <x v="12"/>
    <m/>
  </r>
  <r>
    <x v="4"/>
    <x v="1"/>
    <x v="10"/>
    <m/>
    <m/>
    <m/>
    <x v="4"/>
    <x v="5"/>
    <x v="10"/>
    <m/>
    <m/>
    <n v="1"/>
    <x v="28"/>
    <n v="13"/>
  </r>
  <r>
    <x v="4"/>
    <x v="11"/>
    <x v="47"/>
    <n v="15"/>
    <d v="2026-07-01T00:00:00"/>
    <d v="2026-07-16T00:00:00"/>
    <x v="5"/>
    <x v="7"/>
    <x v="18"/>
    <s v="AMAL"/>
    <m/>
    <n v="1"/>
    <x v="64"/>
    <n v="2"/>
  </r>
  <r>
    <x v="4"/>
    <x v="1"/>
    <x v="10"/>
    <m/>
    <m/>
    <m/>
    <x v="4"/>
    <x v="5"/>
    <x v="10"/>
    <m/>
    <m/>
    <n v="1"/>
    <x v="65"/>
    <n v="2"/>
  </r>
  <r>
    <x v="6"/>
    <x v="1"/>
    <x v="10"/>
    <m/>
    <m/>
    <m/>
    <x v="4"/>
    <x v="5"/>
    <x v="10"/>
    <m/>
    <m/>
    <n v="1"/>
    <x v="13"/>
    <n v="16"/>
  </r>
  <r>
    <x v="6"/>
    <x v="1"/>
    <x v="10"/>
    <m/>
    <m/>
    <m/>
    <x v="4"/>
    <x v="5"/>
    <x v="10"/>
    <m/>
    <m/>
    <n v="1"/>
    <x v="13"/>
    <n v="16"/>
  </r>
  <r>
    <x v="4"/>
    <x v="1"/>
    <x v="10"/>
    <m/>
    <m/>
    <m/>
    <x v="4"/>
    <x v="5"/>
    <x v="10"/>
    <m/>
    <m/>
    <n v="1"/>
    <x v="66"/>
    <n v="1"/>
  </r>
  <r>
    <x v="6"/>
    <x v="1"/>
    <x v="10"/>
    <m/>
    <m/>
    <m/>
    <x v="4"/>
    <x v="5"/>
    <x v="10"/>
    <m/>
    <m/>
    <m/>
    <x v="12"/>
    <m/>
  </r>
  <r>
    <x v="6"/>
    <x v="1"/>
    <x v="10"/>
    <m/>
    <m/>
    <m/>
    <x v="4"/>
    <x v="5"/>
    <x v="10"/>
    <m/>
    <m/>
    <m/>
    <x v="12"/>
    <m/>
  </r>
</pivotCacheRecords>
</file>

<file path=xl/pivotCache/pivotCacheRecords2.xml><?xml version="1.0" encoding="utf-8"?>
<pivotCacheRecords xmlns="http://schemas.openxmlformats.org/spreadsheetml/2006/main" xmlns:r="http://schemas.openxmlformats.org/officeDocument/2006/relationships" count="84">
  <r>
    <x v="0"/>
    <x v="0"/>
    <x v="0"/>
    <n v="19"/>
    <d v="2026-06-01T00:00:00"/>
    <d v="2026-06-20T00:00:00"/>
    <x v="0"/>
    <x v="0"/>
    <x v="0"/>
    <s v="Manoj "/>
    <m/>
    <n v="1"/>
    <x v="0"/>
    <n v="8"/>
  </r>
  <r>
    <x v="0"/>
    <x v="0"/>
    <x v="1"/>
    <n v="15"/>
    <d v="2026-06-01T00:00:00"/>
    <d v="2026-06-16T00:00:00"/>
    <x v="0"/>
    <x v="0"/>
    <x v="1"/>
    <s v="Manoj "/>
    <m/>
    <n v="1"/>
    <x v="1"/>
    <n v="5"/>
  </r>
  <r>
    <x v="1"/>
    <x v="0"/>
    <x v="2"/>
    <n v="18"/>
    <d v="2026-06-06T00:00:00"/>
    <d v="2026-06-24T00:00:00"/>
    <x v="1"/>
    <x v="1"/>
    <x v="2"/>
    <s v="GANESH"/>
    <m/>
    <n v="1"/>
    <x v="2"/>
    <n v="18"/>
  </r>
  <r>
    <x v="1"/>
    <x v="0"/>
    <x v="3"/>
    <n v="14"/>
    <d v="2026-06-10T00:00:00"/>
    <d v="2026-06-24T00:00:00"/>
    <x v="1"/>
    <x v="1"/>
    <x v="3"/>
    <s v="GANESH"/>
    <m/>
    <n v="1"/>
    <x v="3"/>
    <n v="2"/>
  </r>
  <r>
    <x v="2"/>
    <x v="0"/>
    <x v="4"/>
    <n v="19"/>
    <d v="2026-06-01T00:00:00"/>
    <d v="2026-06-20T00:00:00"/>
    <x v="2"/>
    <x v="2"/>
    <x v="4"/>
    <s v="AMAL"/>
    <m/>
    <n v="1"/>
    <x v="4"/>
    <n v="7"/>
  </r>
  <r>
    <x v="3"/>
    <x v="0"/>
    <x v="5"/>
    <n v="14"/>
    <d v="2026-06-13T00:00:00"/>
    <d v="2026-06-27T00:00:00"/>
    <x v="3"/>
    <x v="3"/>
    <x v="5"/>
    <s v="Manoj "/>
    <m/>
    <n v="1"/>
    <x v="5"/>
    <n v="4"/>
  </r>
  <r>
    <x v="3"/>
    <x v="0"/>
    <x v="6"/>
    <n v="14"/>
    <d v="2026-07-04T00:00:00"/>
    <d v="2026-07-18T00:00:00"/>
    <x v="3"/>
    <x v="4"/>
    <x v="6"/>
    <s v="Manoj "/>
    <m/>
    <n v="1"/>
    <x v="6"/>
    <n v="4"/>
  </r>
  <r>
    <x v="3"/>
    <x v="0"/>
    <x v="7"/>
    <n v="15"/>
    <d v="2026-06-01T00:00:00"/>
    <d v="2026-06-16T00:00:00"/>
    <x v="3"/>
    <x v="3"/>
    <x v="7"/>
    <s v="Manoj "/>
    <m/>
    <n v="1"/>
    <x v="7"/>
    <n v="2"/>
  </r>
  <r>
    <x v="3"/>
    <x v="0"/>
    <x v="8"/>
    <n v="45"/>
    <d v="2026-06-01T00:00:00"/>
    <d v="2026-07-16T00:00:00"/>
    <x v="3"/>
    <x v="3"/>
    <x v="8"/>
    <s v="Manoj "/>
    <m/>
    <n v="1"/>
    <x v="8"/>
    <n v="2"/>
  </r>
  <r>
    <x v="3"/>
    <x v="0"/>
    <x v="9"/>
    <n v="5"/>
    <d v="2026-07-04T00:00:00"/>
    <d v="2026-07-09T00:00:00"/>
    <x v="3"/>
    <x v="4"/>
    <x v="9"/>
    <s v="Manoj "/>
    <m/>
    <n v="1"/>
    <x v="9"/>
    <n v="8"/>
  </r>
  <r>
    <x v="3"/>
    <x v="1"/>
    <x v="10"/>
    <m/>
    <m/>
    <m/>
    <x v="4"/>
    <x v="5"/>
    <x v="10"/>
    <m/>
    <m/>
    <n v="1"/>
    <x v="10"/>
    <n v="1"/>
  </r>
  <r>
    <x v="3"/>
    <x v="1"/>
    <x v="10"/>
    <m/>
    <m/>
    <m/>
    <x v="4"/>
    <x v="5"/>
    <x v="10"/>
    <m/>
    <m/>
    <n v="1"/>
    <x v="11"/>
    <n v="1"/>
  </r>
  <r>
    <x v="3"/>
    <x v="1"/>
    <x v="10"/>
    <m/>
    <m/>
    <m/>
    <x v="4"/>
    <x v="5"/>
    <x v="10"/>
    <m/>
    <m/>
    <m/>
    <x v="12"/>
    <m/>
  </r>
  <r>
    <x v="3"/>
    <x v="1"/>
    <x v="10"/>
    <m/>
    <m/>
    <m/>
    <x v="4"/>
    <x v="5"/>
    <x v="10"/>
    <m/>
    <m/>
    <m/>
    <x v="12"/>
    <m/>
  </r>
  <r>
    <x v="3"/>
    <x v="1"/>
    <x v="10"/>
    <m/>
    <m/>
    <m/>
    <x v="4"/>
    <x v="5"/>
    <x v="10"/>
    <m/>
    <m/>
    <n v="1"/>
    <x v="13"/>
    <n v="16"/>
  </r>
  <r>
    <x v="3"/>
    <x v="1"/>
    <x v="10"/>
    <m/>
    <m/>
    <m/>
    <x v="4"/>
    <x v="5"/>
    <x v="10"/>
    <m/>
    <m/>
    <n v="1"/>
    <x v="14"/>
    <n v="1"/>
  </r>
  <r>
    <x v="4"/>
    <x v="0"/>
    <x v="11"/>
    <n v="8"/>
    <d v="2026-06-19T00:00:00"/>
    <d v="2026-06-27T00:00:00"/>
    <x v="5"/>
    <x v="6"/>
    <x v="11"/>
    <s v="AMAL"/>
    <m/>
    <n v="1"/>
    <x v="15"/>
    <n v="2"/>
  </r>
  <r>
    <x v="4"/>
    <x v="0"/>
    <x v="12"/>
    <n v="11"/>
    <d v="2026-06-16T00:00:00"/>
    <d v="2026-06-27T00:00:00"/>
    <x v="5"/>
    <x v="7"/>
    <x v="12"/>
    <s v="AMAL"/>
    <m/>
    <n v="1"/>
    <x v="16"/>
    <n v="8"/>
  </r>
  <r>
    <x v="3"/>
    <x v="0"/>
    <x v="13"/>
    <n v="60"/>
    <d v="2026-08-03T00:00:00"/>
    <d v="2026-10-02T00:00:00"/>
    <x v="3"/>
    <x v="4"/>
    <x v="8"/>
    <s v="Manoj "/>
    <m/>
    <m/>
    <x v="12"/>
    <m/>
  </r>
  <r>
    <x v="3"/>
    <x v="0"/>
    <x v="14"/>
    <n v="45"/>
    <d v="2026-07-13T00:00:00"/>
    <d v="2026-08-27T00:00:00"/>
    <x v="3"/>
    <x v="4"/>
    <x v="7"/>
    <s v="Manoj "/>
    <m/>
    <m/>
    <x v="12"/>
    <m/>
  </r>
  <r>
    <x v="3"/>
    <x v="0"/>
    <x v="15"/>
    <n v="18"/>
    <d v="2026-07-13T00:00:00"/>
    <d v="2026-08-01T00:00:00"/>
    <x v="3"/>
    <x v="3"/>
    <x v="13"/>
    <s v="Manoj "/>
    <m/>
    <n v="1"/>
    <x v="17"/>
    <n v="1"/>
  </r>
  <r>
    <x v="0"/>
    <x v="0"/>
    <x v="16"/>
    <n v="12"/>
    <d v="2026-07-13T00:00:00"/>
    <d v="2026-07-25T00:00:00"/>
    <x v="0"/>
    <x v="0"/>
    <x v="14"/>
    <s v="Manoj "/>
    <m/>
    <n v="1"/>
    <x v="18"/>
    <n v="3"/>
  </r>
  <r>
    <x v="0"/>
    <x v="0"/>
    <x v="17"/>
    <n v="15"/>
    <d v="2026-07-13T00:00:00"/>
    <d v="2026-07-28T00:00:00"/>
    <x v="0"/>
    <x v="0"/>
    <x v="15"/>
    <s v="Manoj "/>
    <m/>
    <n v="1"/>
    <x v="19"/>
    <n v="1"/>
  </r>
  <r>
    <x v="0"/>
    <x v="0"/>
    <x v="18"/>
    <n v="9"/>
    <d v="2026-07-17T00:00:00"/>
    <d v="2026-07-29T00:00:00"/>
    <x v="0"/>
    <x v="0"/>
    <x v="16"/>
    <s v="Manoj "/>
    <m/>
    <n v="1"/>
    <x v="20"/>
    <n v="1"/>
  </r>
  <r>
    <x v="2"/>
    <x v="0"/>
    <x v="19"/>
    <n v="8"/>
    <d v="2026-07-18T00:00:00"/>
    <d v="2026-07-31T00:00:00"/>
    <x v="2"/>
    <x v="8"/>
    <x v="17"/>
    <s v="AMAL"/>
    <m/>
    <n v="1"/>
    <x v="21"/>
    <n v="1"/>
  </r>
  <r>
    <x v="4"/>
    <x v="0"/>
    <x v="20"/>
    <n v="18"/>
    <d v="2026-07-20T00:00:00"/>
    <d v="2026-08-08T00:00:00"/>
    <x v="5"/>
    <x v="9"/>
    <x v="18"/>
    <s v="AMAL"/>
    <m/>
    <n v="1"/>
    <x v="22"/>
    <n v="2"/>
  </r>
  <r>
    <x v="4"/>
    <x v="0"/>
    <x v="21"/>
    <n v="8"/>
    <d v="2026-07-21T00:00:00"/>
    <d v="2026-08-01T00:00:00"/>
    <x v="5"/>
    <x v="6"/>
    <x v="19"/>
    <s v="AMAL"/>
    <m/>
    <n v="1"/>
    <x v="23"/>
    <n v="2"/>
  </r>
  <r>
    <x v="4"/>
    <x v="0"/>
    <x v="22"/>
    <n v="7"/>
    <d v="2026-07-22T00:00:00"/>
    <d v="2026-08-03T00:00:00"/>
    <x v="5"/>
    <x v="10"/>
    <x v="18"/>
    <s v="AMAL"/>
    <m/>
    <n v="1"/>
    <x v="24"/>
    <n v="1"/>
  </r>
  <r>
    <x v="4"/>
    <x v="0"/>
    <x v="23"/>
    <n v="10"/>
    <d v="2026-07-24T00:00:00"/>
    <d v="2026-08-05T00:00:00"/>
    <x v="5"/>
    <x v="9"/>
    <x v="20"/>
    <s v="AMAL"/>
    <m/>
    <n v="1"/>
    <x v="25"/>
    <n v="3"/>
  </r>
  <r>
    <x v="4"/>
    <x v="0"/>
    <x v="24"/>
    <n v="10"/>
    <d v="2026-07-25T00:00:00"/>
    <d v="2026-08-06T00:00:00"/>
    <x v="5"/>
    <x v="10"/>
    <x v="11"/>
    <s v="AMAL"/>
    <m/>
    <n v="1"/>
    <x v="26"/>
    <n v="1"/>
  </r>
  <r>
    <x v="2"/>
    <x v="0"/>
    <x v="25"/>
    <n v="16"/>
    <d v="2026-07-28T00:00:00"/>
    <d v="2026-08-13T00:00:00"/>
    <x v="2"/>
    <x v="11"/>
    <x v="21"/>
    <s v="AMAL"/>
    <m/>
    <n v="1"/>
    <x v="27"/>
    <n v="1"/>
  </r>
  <r>
    <x v="2"/>
    <x v="0"/>
    <x v="26"/>
    <n v="9"/>
    <d v="2026-07-29T00:00:00"/>
    <d v="2026-08-08T00:00:00"/>
    <x v="2"/>
    <x v="11"/>
    <x v="17"/>
    <s v="AMAL"/>
    <m/>
    <n v="1"/>
    <x v="28"/>
    <n v="13"/>
  </r>
  <r>
    <x v="5"/>
    <x v="2"/>
    <x v="27"/>
    <n v="2"/>
    <d v="2026-07-13T00:00:00"/>
    <d v="2026-07-15T00:00:00"/>
    <x v="6"/>
    <x v="12"/>
    <x v="22"/>
    <s v="KEERTHI"/>
    <m/>
    <n v="1"/>
    <x v="29"/>
    <n v="6"/>
  </r>
  <r>
    <x v="5"/>
    <x v="2"/>
    <x v="28"/>
    <n v="2"/>
    <d v="2026-07-16T00:00:00"/>
    <d v="2026-07-18T00:00:00"/>
    <x v="6"/>
    <x v="12"/>
    <x v="23"/>
    <s v="KEERTHI"/>
    <m/>
    <n v="1"/>
    <x v="30"/>
    <n v="6"/>
  </r>
  <r>
    <x v="5"/>
    <x v="2"/>
    <x v="29"/>
    <n v="2"/>
    <d v="2026-07-20T00:00:00"/>
    <d v="2026-07-22T00:00:00"/>
    <x v="6"/>
    <x v="12"/>
    <x v="24"/>
    <s v="KEERTHI"/>
    <m/>
    <n v="1"/>
    <x v="31"/>
    <n v="2"/>
  </r>
  <r>
    <x v="5"/>
    <x v="2"/>
    <x v="30"/>
    <n v="2"/>
    <d v="2026-07-23T00:00:00"/>
    <d v="2026-07-25T00:00:00"/>
    <x v="6"/>
    <x v="12"/>
    <x v="25"/>
    <s v="KEERTHI"/>
    <m/>
    <n v="1"/>
    <x v="32"/>
    <n v="2"/>
  </r>
  <r>
    <x v="5"/>
    <x v="2"/>
    <x v="31"/>
    <n v="2"/>
    <d v="2026-07-27T00:00:00"/>
    <d v="2026-07-29T00:00:00"/>
    <x v="6"/>
    <x v="12"/>
    <x v="22"/>
    <s v="KEERTHI"/>
    <m/>
    <n v="1"/>
    <x v="33"/>
    <n v="1"/>
  </r>
  <r>
    <x v="5"/>
    <x v="1"/>
    <x v="10"/>
    <m/>
    <m/>
    <m/>
    <x v="4"/>
    <x v="5"/>
    <x v="10"/>
    <m/>
    <m/>
    <n v="1"/>
    <x v="34"/>
    <n v="13"/>
  </r>
  <r>
    <x v="5"/>
    <x v="2"/>
    <x v="32"/>
    <n v="2"/>
    <d v="2026-07-30T00:00:00"/>
    <d v="2026-08-01T00:00:00"/>
    <x v="6"/>
    <x v="12"/>
    <x v="23"/>
    <s v="KEERTHI"/>
    <m/>
    <n v="1"/>
    <x v="35"/>
    <n v="1"/>
  </r>
  <r>
    <x v="0"/>
    <x v="3"/>
    <x v="33"/>
    <n v="8"/>
    <d v="2026-06-29T00:00:00"/>
    <d v="2026-07-07T00:00:00"/>
    <x v="0"/>
    <x v="13"/>
    <x v="14"/>
    <s v="Manoj "/>
    <m/>
    <n v="1"/>
    <x v="36"/>
    <n v="1"/>
  </r>
  <r>
    <x v="0"/>
    <x v="4"/>
    <x v="34"/>
    <n v="8"/>
    <d v="2026-07-27T00:00:00"/>
    <d v="2026-08-04T00:00:00"/>
    <x v="0"/>
    <x v="13"/>
    <x v="26"/>
    <s v="Manoj "/>
    <m/>
    <n v="1"/>
    <x v="37"/>
    <n v="1"/>
  </r>
  <r>
    <x v="0"/>
    <x v="5"/>
    <x v="35"/>
    <n v="5"/>
    <d v="2026-07-06T00:00:00"/>
    <d v="2026-07-11T00:00:00"/>
    <x v="0"/>
    <x v="13"/>
    <x v="27"/>
    <s v="Manoj "/>
    <m/>
    <n v="1"/>
    <x v="38"/>
    <n v="2"/>
  </r>
  <r>
    <x v="0"/>
    <x v="1"/>
    <x v="10"/>
    <m/>
    <m/>
    <m/>
    <x v="4"/>
    <x v="5"/>
    <x v="10"/>
    <m/>
    <m/>
    <n v="1"/>
    <x v="39"/>
    <n v="1"/>
  </r>
  <r>
    <x v="6"/>
    <x v="1"/>
    <x v="10"/>
    <m/>
    <m/>
    <m/>
    <x v="4"/>
    <x v="5"/>
    <x v="10"/>
    <m/>
    <m/>
    <n v="1"/>
    <x v="13"/>
    <n v="16"/>
  </r>
  <r>
    <x v="0"/>
    <x v="1"/>
    <x v="10"/>
    <m/>
    <m/>
    <m/>
    <x v="4"/>
    <x v="5"/>
    <x v="10"/>
    <m/>
    <m/>
    <n v="1"/>
    <x v="40"/>
    <n v="1"/>
  </r>
  <r>
    <x v="1"/>
    <x v="6"/>
    <x v="36"/>
    <n v="5"/>
    <d v="2026-07-14T00:00:00"/>
    <d v="2026-07-19T00:00:00"/>
    <x v="1"/>
    <x v="1"/>
    <x v="28"/>
    <s v="GANESH"/>
    <m/>
    <n v="1"/>
    <x v="41"/>
    <n v="1"/>
  </r>
  <r>
    <x v="1"/>
    <x v="7"/>
    <x v="37"/>
    <n v="3"/>
    <d v="2026-07-13T00:00:00"/>
    <d v="2026-07-16T00:00:00"/>
    <x v="1"/>
    <x v="1"/>
    <x v="29"/>
    <s v="GANESH"/>
    <m/>
    <n v="1"/>
    <x v="42"/>
    <n v="2"/>
  </r>
  <r>
    <x v="1"/>
    <x v="8"/>
    <x v="38"/>
    <n v="4"/>
    <d v="2026-07-20T00:00:00"/>
    <d v="2026-07-24T00:00:00"/>
    <x v="1"/>
    <x v="1"/>
    <x v="29"/>
    <s v="GANESH"/>
    <m/>
    <n v="1"/>
    <x v="43"/>
    <n v="1"/>
  </r>
  <r>
    <x v="1"/>
    <x v="4"/>
    <x v="39"/>
    <n v="6"/>
    <d v="2026-08-10T00:00:00"/>
    <d v="2026-08-16T00:00:00"/>
    <x v="1"/>
    <x v="1"/>
    <x v="30"/>
    <s v="GANESH"/>
    <m/>
    <n v="1"/>
    <x v="44"/>
    <m/>
  </r>
  <r>
    <x v="1"/>
    <x v="5"/>
    <x v="40"/>
    <n v="5"/>
    <d v="2026-07-13T00:00:00"/>
    <d v="2026-07-18T00:00:00"/>
    <x v="1"/>
    <x v="1"/>
    <x v="30"/>
    <s v="GANESH"/>
    <m/>
    <n v="1"/>
    <x v="45"/>
    <n v="2"/>
  </r>
  <r>
    <x v="1"/>
    <x v="8"/>
    <x v="41"/>
    <n v="4"/>
    <d v="2026-07-27T00:00:00"/>
    <d v="2026-07-31T00:00:00"/>
    <x v="1"/>
    <x v="1"/>
    <x v="3"/>
    <s v="GANESH"/>
    <m/>
    <n v="1"/>
    <x v="46"/>
    <n v="2"/>
  </r>
  <r>
    <x v="1"/>
    <x v="6"/>
    <x v="42"/>
    <n v="4"/>
    <d v="2026-07-30T00:00:00"/>
    <d v="2026-08-03T00:00:00"/>
    <x v="1"/>
    <x v="14"/>
    <x v="28"/>
    <s v="GANESH"/>
    <m/>
    <n v="1"/>
    <x v="47"/>
    <n v="10"/>
  </r>
  <r>
    <x v="1"/>
    <x v="6"/>
    <x v="43"/>
    <n v="4"/>
    <d v="2026-07-10T00:00:00"/>
    <d v="2026-07-14T00:00:00"/>
    <x v="1"/>
    <x v="14"/>
    <x v="31"/>
    <s v="GANESH"/>
    <m/>
    <m/>
    <x v="12"/>
    <m/>
  </r>
  <r>
    <x v="2"/>
    <x v="9"/>
    <x v="44"/>
    <n v="24"/>
    <d v="2026-06-28T00:00:00"/>
    <d v="2026-07-22T00:00:00"/>
    <x v="2"/>
    <x v="2"/>
    <x v="4"/>
    <s v="AMAL"/>
    <m/>
    <n v="1"/>
    <x v="48"/>
    <n v="4"/>
  </r>
  <r>
    <x v="2"/>
    <x v="1"/>
    <x v="10"/>
    <m/>
    <m/>
    <m/>
    <x v="4"/>
    <x v="5"/>
    <x v="10"/>
    <m/>
    <m/>
    <n v="1"/>
    <x v="49"/>
    <n v="2"/>
  </r>
  <r>
    <x v="7"/>
    <x v="5"/>
    <x v="45"/>
    <n v="2"/>
    <d v="2026-06-29T00:00:00"/>
    <d v="2026-07-01T00:00:00"/>
    <x v="7"/>
    <x v="15"/>
    <x v="32"/>
    <s v="KEERTHI"/>
    <m/>
    <n v="1"/>
    <x v="50"/>
    <n v="21"/>
  </r>
  <r>
    <x v="7"/>
    <x v="5"/>
    <x v="45"/>
    <n v="2"/>
    <d v="2026-07-02T00:00:00"/>
    <d v="2026-07-04T00:00:00"/>
    <x v="7"/>
    <x v="16"/>
    <x v="33"/>
    <s v="KEERTHI"/>
    <m/>
    <n v="1"/>
    <x v="51"/>
    <n v="5"/>
  </r>
  <r>
    <x v="7"/>
    <x v="5"/>
    <x v="45"/>
    <n v="2"/>
    <d v="2026-07-05T00:00:00"/>
    <d v="2026-07-07T00:00:00"/>
    <x v="7"/>
    <x v="17"/>
    <x v="34"/>
    <s v="KEERTHI"/>
    <m/>
    <n v="1"/>
    <x v="52"/>
    <n v="4"/>
  </r>
  <r>
    <x v="7"/>
    <x v="5"/>
    <x v="45"/>
    <n v="2"/>
    <d v="2026-07-08T00:00:00"/>
    <d v="2026-07-10T00:00:00"/>
    <x v="7"/>
    <x v="18"/>
    <x v="35"/>
    <s v="KEERTHI"/>
    <m/>
    <n v="1"/>
    <x v="53"/>
    <n v="2"/>
  </r>
  <r>
    <x v="7"/>
    <x v="5"/>
    <x v="45"/>
    <n v="2"/>
    <d v="2026-07-11T00:00:00"/>
    <d v="2026-07-13T00:00:00"/>
    <x v="7"/>
    <x v="17"/>
    <x v="34"/>
    <s v="KEERTHI"/>
    <m/>
    <n v="1"/>
    <x v="54"/>
    <n v="2"/>
  </r>
  <r>
    <x v="7"/>
    <x v="5"/>
    <x v="45"/>
    <n v="2"/>
    <d v="2026-07-14T00:00:00"/>
    <d v="2026-07-16T00:00:00"/>
    <x v="7"/>
    <x v="15"/>
    <x v="32"/>
    <s v="KEERTHI"/>
    <m/>
    <n v="1"/>
    <x v="55"/>
    <n v="2"/>
  </r>
  <r>
    <x v="7"/>
    <x v="1"/>
    <x v="10"/>
    <m/>
    <m/>
    <m/>
    <x v="4"/>
    <x v="5"/>
    <x v="10"/>
    <m/>
    <m/>
    <n v="1"/>
    <x v="34"/>
    <n v="13"/>
  </r>
  <r>
    <x v="7"/>
    <x v="1"/>
    <x v="10"/>
    <m/>
    <m/>
    <m/>
    <x v="4"/>
    <x v="5"/>
    <x v="10"/>
    <m/>
    <m/>
    <n v="1"/>
    <x v="56"/>
    <n v="1"/>
  </r>
  <r>
    <x v="7"/>
    <x v="1"/>
    <x v="10"/>
    <m/>
    <m/>
    <m/>
    <x v="4"/>
    <x v="5"/>
    <x v="10"/>
    <m/>
    <m/>
    <n v="1"/>
    <x v="57"/>
    <n v="2"/>
  </r>
  <r>
    <x v="7"/>
    <x v="5"/>
    <x v="45"/>
    <n v="3"/>
    <d v="2026-07-17T00:00:00"/>
    <d v="2026-07-20T00:00:00"/>
    <x v="7"/>
    <x v="18"/>
    <x v="33"/>
    <s v="KEERTHI"/>
    <m/>
    <m/>
    <x v="12"/>
    <m/>
  </r>
  <r>
    <x v="8"/>
    <x v="10"/>
    <x v="46"/>
    <n v="2"/>
    <d v="2026-07-06T00:00:00"/>
    <d v="2026-07-08T00:00:00"/>
    <x v="7"/>
    <x v="16"/>
    <x v="36"/>
    <s v="ANAND"/>
    <m/>
    <m/>
    <x v="12"/>
    <m/>
  </r>
  <r>
    <x v="8"/>
    <x v="10"/>
    <x v="46"/>
    <n v="1"/>
    <d v="2026-07-09T00:00:00"/>
    <d v="2026-07-10T00:00:00"/>
    <x v="7"/>
    <x v="15"/>
    <x v="37"/>
    <s v="ANAND"/>
    <m/>
    <n v="1"/>
    <x v="58"/>
    <n v="2"/>
  </r>
  <r>
    <x v="8"/>
    <x v="10"/>
    <x v="46"/>
    <n v="2"/>
    <d v="2026-07-11T00:00:00"/>
    <d v="2026-07-13T00:00:00"/>
    <x v="7"/>
    <x v="19"/>
    <x v="38"/>
    <s v="ANAND"/>
    <m/>
    <n v="1"/>
    <x v="59"/>
    <n v="3"/>
  </r>
  <r>
    <x v="8"/>
    <x v="10"/>
    <x v="46"/>
    <n v="1"/>
    <d v="2026-07-14T00:00:00"/>
    <d v="2026-07-15T00:00:00"/>
    <x v="7"/>
    <x v="18"/>
    <x v="36"/>
    <s v="ANAND"/>
    <m/>
    <n v="1"/>
    <x v="60"/>
    <n v="2"/>
  </r>
  <r>
    <x v="8"/>
    <x v="10"/>
    <x v="46"/>
    <n v="1"/>
    <d v="2026-07-16T00:00:00"/>
    <d v="2026-07-17T00:00:00"/>
    <x v="7"/>
    <x v="19"/>
    <x v="39"/>
    <s v="ANAND"/>
    <m/>
    <n v="1"/>
    <x v="61"/>
    <n v="4"/>
  </r>
  <r>
    <x v="8"/>
    <x v="10"/>
    <x v="46"/>
    <n v="2"/>
    <d v="2026-07-18T00:00:00"/>
    <d v="2026-07-20T00:00:00"/>
    <x v="7"/>
    <x v="15"/>
    <x v="37"/>
    <s v="ANAND"/>
    <m/>
    <n v="1"/>
    <x v="62"/>
    <n v="4"/>
  </r>
  <r>
    <x v="8"/>
    <x v="10"/>
    <x v="46"/>
    <n v="1"/>
    <d v="2026-07-21T00:00:00"/>
    <d v="2026-07-22T00:00:00"/>
    <x v="7"/>
    <x v="19"/>
    <x v="38"/>
    <s v="ANAND"/>
    <m/>
    <n v="1"/>
    <x v="63"/>
    <n v="11"/>
  </r>
  <r>
    <x v="8"/>
    <x v="10"/>
    <x v="46"/>
    <n v="1"/>
    <d v="2026-07-23T00:00:00"/>
    <d v="2026-07-24T00:00:00"/>
    <x v="7"/>
    <x v="18"/>
    <x v="36"/>
    <s v="ANAND"/>
    <m/>
    <m/>
    <x v="12"/>
    <m/>
  </r>
  <r>
    <x v="8"/>
    <x v="10"/>
    <x v="46"/>
    <n v="2"/>
    <d v="2026-07-25T00:00:00"/>
    <d v="2026-07-27T00:00:00"/>
    <x v="7"/>
    <x v="16"/>
    <x v="39"/>
    <s v="ANAND"/>
    <m/>
    <m/>
    <x v="12"/>
    <m/>
  </r>
  <r>
    <x v="8"/>
    <x v="10"/>
    <x v="46"/>
    <n v="1"/>
    <d v="2026-07-28T00:00:00"/>
    <d v="2026-07-29T00:00:00"/>
    <x v="7"/>
    <x v="15"/>
    <x v="37"/>
    <s v="ANAND"/>
    <m/>
    <m/>
    <x v="12"/>
    <m/>
  </r>
  <r>
    <x v="8"/>
    <x v="10"/>
    <x v="46"/>
    <n v="1"/>
    <d v="2026-07-30T00:00:00"/>
    <d v="2026-07-31T00:00:00"/>
    <x v="7"/>
    <x v="19"/>
    <x v="36"/>
    <s v="ANAND"/>
    <m/>
    <m/>
    <x v="12"/>
    <m/>
  </r>
  <r>
    <x v="4"/>
    <x v="1"/>
    <x v="10"/>
    <m/>
    <m/>
    <m/>
    <x v="4"/>
    <x v="5"/>
    <x v="10"/>
    <m/>
    <m/>
    <n v="1"/>
    <x v="28"/>
    <n v="13"/>
  </r>
  <r>
    <x v="4"/>
    <x v="11"/>
    <x v="47"/>
    <n v="15"/>
    <d v="2026-07-01T00:00:00"/>
    <d v="2026-07-16T00:00:00"/>
    <x v="5"/>
    <x v="7"/>
    <x v="18"/>
    <s v="AMAL"/>
    <m/>
    <n v="1"/>
    <x v="64"/>
    <n v="2"/>
  </r>
  <r>
    <x v="4"/>
    <x v="1"/>
    <x v="10"/>
    <m/>
    <m/>
    <m/>
    <x v="4"/>
    <x v="5"/>
    <x v="10"/>
    <m/>
    <m/>
    <n v="1"/>
    <x v="65"/>
    <n v="2"/>
  </r>
  <r>
    <x v="6"/>
    <x v="1"/>
    <x v="10"/>
    <m/>
    <m/>
    <m/>
    <x v="4"/>
    <x v="5"/>
    <x v="10"/>
    <m/>
    <m/>
    <n v="1"/>
    <x v="13"/>
    <n v="16"/>
  </r>
  <r>
    <x v="6"/>
    <x v="1"/>
    <x v="10"/>
    <m/>
    <m/>
    <m/>
    <x v="4"/>
    <x v="5"/>
    <x v="10"/>
    <m/>
    <m/>
    <n v="1"/>
    <x v="13"/>
    <n v="16"/>
  </r>
  <r>
    <x v="4"/>
    <x v="1"/>
    <x v="10"/>
    <m/>
    <m/>
    <m/>
    <x v="4"/>
    <x v="5"/>
    <x v="10"/>
    <m/>
    <m/>
    <n v="1"/>
    <x v="66"/>
    <n v="1"/>
  </r>
  <r>
    <x v="6"/>
    <x v="1"/>
    <x v="10"/>
    <m/>
    <m/>
    <m/>
    <x v="4"/>
    <x v="5"/>
    <x v="10"/>
    <m/>
    <m/>
    <m/>
    <x v="12"/>
    <m/>
  </r>
  <r>
    <x v="6"/>
    <x v="1"/>
    <x v="10"/>
    <m/>
    <m/>
    <m/>
    <x v="4"/>
    <x v="5"/>
    <x v="10"/>
    <m/>
    <m/>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E3:F71" firstHeaderRow="1" firstDataRow="1" firstDataCol="1"/>
  <pivotFields count="14">
    <pivotField showAll="0">
      <items count="10">
        <item h="1" x="5"/>
        <item x="7"/>
        <item h="1" x="0"/>
        <item h="1" x="2"/>
        <item h="1" x="8"/>
        <item h="1" x="1"/>
        <item h="1" x="4"/>
        <item h="1" x="3"/>
        <item h="1" x="6"/>
        <item t="default"/>
      </items>
    </pivotField>
    <pivotField showAll="0"/>
    <pivotField showAll="0">
      <items count="50">
        <item x="34"/>
        <item x="35"/>
        <item x="23"/>
        <item x="21"/>
        <item x="20"/>
        <item x="3"/>
        <item x="39"/>
        <item x="27"/>
        <item x="28"/>
        <item x="29"/>
        <item x="30"/>
        <item x="31"/>
        <item x="32"/>
        <item x="8"/>
        <item x="4"/>
        <item x="45"/>
        <item m="1" x="48"/>
        <item x="46"/>
        <item x="14"/>
        <item x="5"/>
        <item x="1"/>
        <item x="18"/>
        <item x="33"/>
        <item x="13"/>
        <item x="11"/>
        <item x="41"/>
        <item x="24"/>
        <item x="47"/>
        <item x="6"/>
        <item x="22"/>
        <item x="17"/>
        <item x="16"/>
        <item x="44"/>
        <item x="25"/>
        <item x="42"/>
        <item x="43"/>
        <item x="12"/>
        <item x="26"/>
        <item x="9"/>
        <item x="2"/>
        <item x="0"/>
        <item x="40"/>
        <item x="36"/>
        <item x="15"/>
        <item x="37"/>
        <item x="19"/>
        <item x="38"/>
        <item x="7"/>
        <item x="10"/>
        <item t="default"/>
      </items>
    </pivotField>
    <pivotField showAll="0"/>
    <pivotField showAll="0"/>
    <pivotField showAll="0"/>
    <pivotField showAll="0">
      <items count="12">
        <item x="5"/>
        <item m="1" x="9"/>
        <item x="1"/>
        <item m="1" x="8"/>
        <item x="6"/>
        <item x="7"/>
        <item x="0"/>
        <item x="2"/>
        <item x="3"/>
        <item m="1" x="10"/>
        <item x="4"/>
        <item t="default"/>
      </items>
    </pivotField>
    <pivotField showAll="0">
      <items count="26">
        <item x="19"/>
        <item m="1" x="24"/>
        <item x="3"/>
        <item x="11"/>
        <item x="4"/>
        <item m="1" x="22"/>
        <item x="0"/>
        <item x="1"/>
        <item x="13"/>
        <item x="17"/>
        <item x="15"/>
        <item x="12"/>
        <item x="10"/>
        <item x="16"/>
        <item m="1" x="21"/>
        <item x="2"/>
        <item x="9"/>
        <item x="14"/>
        <item x="7"/>
        <item x="6"/>
        <item m="1" x="23"/>
        <item m="1" x="20"/>
        <item x="8"/>
        <item x="18"/>
        <item x="5"/>
        <item t="default"/>
      </items>
    </pivotField>
    <pivotField showAll="0"/>
    <pivotField showAll="0"/>
    <pivotField showAll="0"/>
    <pivotField showAll="0"/>
    <pivotField axis="axisRow" showAll="0">
      <items count="79">
        <item x="53"/>
        <item x="38"/>
        <item x="62"/>
        <item x="44"/>
        <item m="1" x="77"/>
        <item x="55"/>
        <item x="16"/>
        <item m="1" x="76"/>
        <item x="6"/>
        <item m="1" x="67"/>
        <item x="48"/>
        <item x="5"/>
        <item x="61"/>
        <item x="49"/>
        <item x="37"/>
        <item m="1" x="73"/>
        <item x="42"/>
        <item m="1" x="70"/>
        <item x="8"/>
        <item x="1"/>
        <item x="2"/>
        <item x="43"/>
        <item x="36"/>
        <item x="40"/>
        <item x="51"/>
        <item x="59"/>
        <item m="1" x="68"/>
        <item x="50"/>
        <item x="0"/>
        <item m="1" x="75"/>
        <item x="4"/>
        <item x="3"/>
        <item x="64"/>
        <item x="17"/>
        <item x="56"/>
        <item x="15"/>
        <item x="7"/>
        <item x="9"/>
        <item x="54"/>
        <item x="66"/>
        <item x="39"/>
        <item x="41"/>
        <item x="52"/>
        <item x="65"/>
        <item x="12"/>
        <item x="18"/>
        <item x="19"/>
        <item x="20"/>
        <item x="21"/>
        <item x="27"/>
        <item x="28"/>
        <item x="29"/>
        <item x="30"/>
        <item x="31"/>
        <item x="32"/>
        <item x="33"/>
        <item x="34"/>
        <item x="35"/>
        <item x="13"/>
        <item x="60"/>
        <item x="10"/>
        <item x="11"/>
        <item m="1" x="69"/>
        <item x="14"/>
        <item m="1" x="71"/>
        <item m="1" x="74"/>
        <item x="22"/>
        <item x="23"/>
        <item x="24"/>
        <item x="25"/>
        <item x="26"/>
        <item x="45"/>
        <item x="46"/>
        <item x="47"/>
        <item x="58"/>
        <item x="63"/>
        <item m="1" x="72"/>
        <item x="57"/>
        <item t="default"/>
      </items>
    </pivotField>
    <pivotField dataField="1" showAll="0"/>
  </pivotFields>
  <rowFields count="1">
    <field x="12"/>
  </rowFields>
  <rowItems count="68">
    <i>
      <x/>
    </i>
    <i>
      <x v="1"/>
    </i>
    <i>
      <x v="2"/>
    </i>
    <i>
      <x v="3"/>
    </i>
    <i>
      <x v="5"/>
    </i>
    <i>
      <x v="6"/>
    </i>
    <i>
      <x v="8"/>
    </i>
    <i>
      <x v="10"/>
    </i>
    <i>
      <x v="11"/>
    </i>
    <i>
      <x v="12"/>
    </i>
    <i>
      <x v="13"/>
    </i>
    <i>
      <x v="14"/>
    </i>
    <i>
      <x v="16"/>
    </i>
    <i>
      <x v="18"/>
    </i>
    <i>
      <x v="19"/>
    </i>
    <i>
      <x v="20"/>
    </i>
    <i>
      <x v="21"/>
    </i>
    <i>
      <x v="22"/>
    </i>
    <i>
      <x v="23"/>
    </i>
    <i>
      <x v="24"/>
    </i>
    <i>
      <x v="25"/>
    </i>
    <i>
      <x v="27"/>
    </i>
    <i>
      <x v="28"/>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3"/>
    </i>
    <i>
      <x v="66"/>
    </i>
    <i>
      <x v="67"/>
    </i>
    <i>
      <x v="68"/>
    </i>
    <i>
      <x v="69"/>
    </i>
    <i>
      <x v="70"/>
    </i>
    <i>
      <x v="71"/>
    </i>
    <i>
      <x v="72"/>
    </i>
    <i>
      <x v="73"/>
    </i>
    <i>
      <x v="74"/>
    </i>
    <i>
      <x v="75"/>
    </i>
    <i>
      <x v="77"/>
    </i>
    <i t="grand">
      <x/>
    </i>
  </rowItems>
  <colItems count="1">
    <i/>
  </colItems>
  <dataFields count="1">
    <dataField name="Sum of machine count" fld="13" baseField="12" baseItem="6"/>
  </dataFields>
  <chartFormats count="1">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H3:I16" firstHeaderRow="1" firstDataRow="1" firstDataCol="1"/>
  <pivotFields count="14">
    <pivotField showAll="0">
      <items count="10">
        <item h="1" x="5"/>
        <item x="7"/>
        <item h="1" x="0"/>
        <item h="1" x="2"/>
        <item h="1" x="8"/>
        <item h="1" x="1"/>
        <item h="1" x="4"/>
        <item h="1" x="3"/>
        <item h="1" x="6"/>
        <item t="default"/>
      </items>
    </pivotField>
    <pivotField axis="axisRow" showAll="0">
      <items count="13">
        <item x="4"/>
        <item x="10"/>
        <item x="3"/>
        <item x="8"/>
        <item x="6"/>
        <item x="9"/>
        <item x="11"/>
        <item x="5"/>
        <item x="7"/>
        <item x="0"/>
        <item x="1"/>
        <item x="2"/>
        <item t="default"/>
      </items>
    </pivotField>
    <pivotField dataField="1" showAll="0">
      <items count="50">
        <item x="34"/>
        <item x="35"/>
        <item x="23"/>
        <item x="21"/>
        <item x="20"/>
        <item x="3"/>
        <item x="39"/>
        <item x="27"/>
        <item x="28"/>
        <item x="29"/>
        <item x="30"/>
        <item x="31"/>
        <item x="32"/>
        <item x="8"/>
        <item x="4"/>
        <item x="45"/>
        <item m="1" x="48"/>
        <item x="46"/>
        <item x="14"/>
        <item x="5"/>
        <item x="1"/>
        <item x="18"/>
        <item x="33"/>
        <item x="13"/>
        <item x="11"/>
        <item x="41"/>
        <item x="24"/>
        <item x="47"/>
        <item x="6"/>
        <item x="22"/>
        <item x="17"/>
        <item x="16"/>
        <item x="44"/>
        <item x="25"/>
        <item x="42"/>
        <item x="43"/>
        <item x="12"/>
        <item x="26"/>
        <item x="9"/>
        <item x="2"/>
        <item x="0"/>
        <item x="40"/>
        <item x="36"/>
        <item x="15"/>
        <item x="37"/>
        <item x="19"/>
        <item x="38"/>
        <item x="7"/>
        <item x="10"/>
        <item t="default"/>
      </items>
    </pivotField>
    <pivotField showAll="0"/>
    <pivotField showAll="0"/>
    <pivotField showAll="0"/>
    <pivotField showAll="0">
      <items count="12">
        <item x="5"/>
        <item m="1" x="9"/>
        <item x="1"/>
        <item m="1" x="8"/>
        <item x="6"/>
        <item x="7"/>
        <item x="0"/>
        <item x="2"/>
        <item x="3"/>
        <item m="1" x="10"/>
        <item x="4"/>
        <item t="default"/>
      </items>
    </pivotField>
    <pivotField showAll="0">
      <items count="26">
        <item x="19"/>
        <item m="1" x="24"/>
        <item x="3"/>
        <item x="11"/>
        <item x="4"/>
        <item m="1" x="22"/>
        <item x="0"/>
        <item x="1"/>
        <item x="13"/>
        <item x="17"/>
        <item x="15"/>
        <item x="12"/>
        <item x="10"/>
        <item x="16"/>
        <item m="1" x="21"/>
        <item x="2"/>
        <item x="9"/>
        <item x="14"/>
        <item x="7"/>
        <item x="6"/>
        <item m="1" x="23"/>
        <item m="1" x="20"/>
        <item x="8"/>
        <item x="18"/>
        <item x="5"/>
        <item t="default"/>
      </items>
    </pivotField>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Machines" fld="2" subtotal="count" baseField="1" baseItem="0"/>
  </dataFields>
  <chartFormats count="19">
    <chartFormat chart="1" format="19">
      <pivotArea type="data" outline="0" fieldPosition="0">
        <references count="2">
          <reference field="4294967294" count="1" selected="0">
            <x v="0"/>
          </reference>
          <reference field="1" count="1" selected="0">
            <x v="7"/>
          </reference>
        </references>
      </pivotArea>
    </chartFormat>
    <chartFormat chart="1" format="20" series="1">
      <pivotArea type="data" outline="0" fieldPosition="0">
        <references count="1">
          <reference field="4294967294" count="1" selected="0">
            <x v="0"/>
          </reference>
        </references>
      </pivotArea>
    </chartFormat>
    <chartFormat chart="1" format="21">
      <pivotArea type="data" outline="0" fieldPosition="0">
        <references count="2">
          <reference field="4294967294" count="1" selected="0">
            <x v="0"/>
          </reference>
          <reference field="1" count="1" selected="0">
            <x v="6"/>
          </reference>
        </references>
      </pivotArea>
    </chartFormat>
    <chartFormat chart="1" format="22">
      <pivotArea type="data" outline="0" fieldPosition="0">
        <references count="2">
          <reference field="4294967294" count="1" selected="0">
            <x v="0"/>
          </reference>
          <reference field="1" count="1" selected="0">
            <x v="9"/>
          </reference>
        </references>
      </pivotArea>
    </chartFormat>
    <chartFormat chart="1" format="23">
      <pivotArea type="data" outline="0" fieldPosition="0">
        <references count="2">
          <reference field="4294967294" count="1" selected="0">
            <x v="0"/>
          </reference>
          <reference field="1" count="1" selected="0">
            <x v="10"/>
          </reference>
        </references>
      </pivotArea>
    </chartFormat>
    <chartFormat chart="1" format="24">
      <pivotArea type="data" outline="0" fieldPosition="0">
        <references count="2">
          <reference field="4294967294" count="1" selected="0">
            <x v="0"/>
          </reference>
          <reference field="1" count="1" selected="0">
            <x v="0"/>
          </reference>
        </references>
      </pivotArea>
    </chartFormat>
    <chartFormat chart="1" format="25">
      <pivotArea type="data" outline="0" fieldPosition="0">
        <references count="2">
          <reference field="4294967294" count="1" selected="0">
            <x v="0"/>
          </reference>
          <reference field="1" count="1" selected="0">
            <x v="3"/>
          </reference>
        </references>
      </pivotArea>
    </chartFormat>
    <chartFormat chart="1" format="26">
      <pivotArea type="data" outline="0" fieldPosition="0">
        <references count="2">
          <reference field="4294967294" count="1" selected="0">
            <x v="0"/>
          </reference>
          <reference field="1" count="1" selected="0">
            <x v="4"/>
          </reference>
        </references>
      </pivotArea>
    </chartFormat>
    <chartFormat chart="1" format="27">
      <pivotArea type="data" outline="0" fieldPosition="0">
        <references count="2">
          <reference field="4294967294" count="1" selected="0">
            <x v="0"/>
          </reference>
          <reference field="1" count="1" selected="0">
            <x v="8"/>
          </reference>
        </references>
      </pivotArea>
    </chartFormat>
    <chartFormat chart="1" format="28">
      <pivotArea type="data" outline="0" fieldPosition="0">
        <references count="2">
          <reference field="4294967294" count="1" selected="0">
            <x v="0"/>
          </reference>
          <reference field="1" count="1" selected="0">
            <x v="2"/>
          </reference>
        </references>
      </pivotArea>
    </chartFormat>
    <chartFormat chart="1" format="29">
      <pivotArea type="data" outline="0" fieldPosition="0">
        <references count="2">
          <reference field="4294967294" count="1" selected="0">
            <x v="0"/>
          </reference>
          <reference field="1" count="1" selected="0">
            <x v="1"/>
          </reference>
        </references>
      </pivotArea>
    </chartFormat>
    <chartFormat chart="1" format="30">
      <pivotArea type="data" outline="0" fieldPosition="0">
        <references count="2">
          <reference field="4294967294" count="1" selected="0">
            <x v="0"/>
          </reference>
          <reference field="1" count="1" selected="0">
            <x v="5"/>
          </reference>
        </references>
      </pivotArea>
    </chartFormat>
    <chartFormat chart="2" format="31" series="1">
      <pivotArea type="data" outline="0" fieldPosition="0">
        <references count="1">
          <reference field="4294967294" count="1" selected="0">
            <x v="0"/>
          </reference>
        </references>
      </pivotArea>
    </chartFormat>
    <chartFormat chart="2" format="32">
      <pivotArea type="data" outline="0" fieldPosition="0">
        <references count="2">
          <reference field="4294967294" count="1" selected="0">
            <x v="0"/>
          </reference>
          <reference field="1" count="1" selected="0">
            <x v="0"/>
          </reference>
        </references>
      </pivotArea>
    </chartFormat>
    <chartFormat chart="2" format="33">
      <pivotArea type="data" outline="0" fieldPosition="0">
        <references count="2">
          <reference field="4294967294" count="1" selected="0">
            <x v="0"/>
          </reference>
          <reference field="1" count="1" selected="0">
            <x v="3"/>
          </reference>
        </references>
      </pivotArea>
    </chartFormat>
    <chartFormat chart="2" format="34">
      <pivotArea type="data" outline="0" fieldPosition="0">
        <references count="2">
          <reference field="4294967294" count="1" selected="0">
            <x v="0"/>
          </reference>
          <reference field="1" count="1" selected="0">
            <x v="4"/>
          </reference>
        </references>
      </pivotArea>
    </chartFormat>
    <chartFormat chart="2" format="35">
      <pivotArea type="data" outline="0" fieldPosition="0">
        <references count="2">
          <reference field="4294967294" count="1" selected="0">
            <x v="0"/>
          </reference>
          <reference field="1" count="1" selected="0">
            <x v="7"/>
          </reference>
        </references>
      </pivotArea>
    </chartFormat>
    <chartFormat chart="2" format="36">
      <pivotArea type="data" outline="0" fieldPosition="0">
        <references count="2">
          <reference field="4294967294" count="1" selected="0">
            <x v="0"/>
          </reference>
          <reference field="1" count="1" selected="0">
            <x v="8"/>
          </reference>
        </references>
      </pivotArea>
    </chartFormat>
    <chartFormat chart="2" format="37">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C5" firstHeaderRow="0" firstDataRow="1" firstDataCol="1"/>
  <pivotFields count="14">
    <pivotField axis="axisRow" showAll="0">
      <items count="10">
        <item x="7"/>
        <item h="1" x="0"/>
        <item h="1" x="2"/>
        <item h="1" x="8"/>
        <item h="1" x="1"/>
        <item h="1" x="4"/>
        <item h="1" x="3"/>
        <item h="1" x="6"/>
        <item h="1" x="5"/>
        <item t="default"/>
      </items>
    </pivotField>
    <pivotField showAll="0"/>
    <pivotField dataField="1" showAll="0">
      <items count="50">
        <item x="34"/>
        <item x="35"/>
        <item x="23"/>
        <item x="21"/>
        <item x="20"/>
        <item x="3"/>
        <item x="39"/>
        <item x="27"/>
        <item x="28"/>
        <item x="29"/>
        <item x="30"/>
        <item x="31"/>
        <item x="32"/>
        <item x="8"/>
        <item x="4"/>
        <item x="45"/>
        <item m="1" x="48"/>
        <item x="46"/>
        <item x="14"/>
        <item x="5"/>
        <item x="1"/>
        <item x="18"/>
        <item x="33"/>
        <item x="13"/>
        <item x="11"/>
        <item x="41"/>
        <item x="24"/>
        <item x="47"/>
        <item x="6"/>
        <item x="22"/>
        <item x="17"/>
        <item x="16"/>
        <item x="44"/>
        <item x="25"/>
        <item x="42"/>
        <item x="43"/>
        <item x="12"/>
        <item x="26"/>
        <item x="9"/>
        <item x="2"/>
        <item x="0"/>
        <item x="40"/>
        <item x="36"/>
        <item x="15"/>
        <item x="37"/>
        <item x="19"/>
        <item x="38"/>
        <item x="7"/>
        <item x="10"/>
        <item t="default"/>
      </items>
    </pivotField>
    <pivotField showAll="0"/>
    <pivotField showAll="0"/>
    <pivotField showAll="0"/>
    <pivotField showAll="0">
      <items count="12">
        <item x="5"/>
        <item m="1" x="9"/>
        <item x="1"/>
        <item m="1" x="8"/>
        <item x="6"/>
        <item x="7"/>
        <item x="0"/>
        <item x="2"/>
        <item x="3"/>
        <item m="1" x="10"/>
        <item x="4"/>
        <item t="default"/>
      </items>
    </pivotField>
    <pivotField showAll="0">
      <items count="26">
        <item x="19"/>
        <item m="1" x="24"/>
        <item x="3"/>
        <item x="11"/>
        <item x="4"/>
        <item m="1" x="22"/>
        <item x="0"/>
        <item x="1"/>
        <item x="13"/>
        <item x="17"/>
        <item x="15"/>
        <item x="12"/>
        <item x="10"/>
        <item x="16"/>
        <item m="1" x="21"/>
        <item x="2"/>
        <item x="9"/>
        <item x="14"/>
        <item x="7"/>
        <item x="6"/>
        <item m="1" x="23"/>
        <item m="1" x="20"/>
        <item x="8"/>
        <item x="18"/>
        <item x="5"/>
        <item t="default"/>
      </items>
    </pivotField>
    <pivotField showAll="0">
      <items count="54">
        <item x="34"/>
        <item x="14"/>
        <item x="3"/>
        <item m="1" x="41"/>
        <item x="39"/>
        <item x="22"/>
        <item m="1" x="52"/>
        <item x="20"/>
        <item x="33"/>
        <item m="1" x="50"/>
        <item m="1" x="42"/>
        <item x="5"/>
        <item x="19"/>
        <item x="4"/>
        <item x="36"/>
        <item x="29"/>
        <item x="23"/>
        <item x="17"/>
        <item x="1"/>
        <item m="1" x="47"/>
        <item x="6"/>
        <item x="30"/>
        <item m="1" x="45"/>
        <item x="8"/>
        <item x="31"/>
        <item m="1" x="40"/>
        <item x="0"/>
        <item m="1" x="44"/>
        <item x="27"/>
        <item x="37"/>
        <item x="38"/>
        <item m="1" x="43"/>
        <item x="28"/>
        <item x="9"/>
        <item m="1" x="46"/>
        <item m="1" x="49"/>
        <item m="1" x="48"/>
        <item x="15"/>
        <item m="1" x="51"/>
        <item x="18"/>
        <item x="21"/>
        <item x="13"/>
        <item x="35"/>
        <item x="16"/>
        <item x="7"/>
        <item x="32"/>
        <item x="12"/>
        <item x="26"/>
        <item x="25"/>
        <item x="2"/>
        <item x="24"/>
        <item x="11"/>
        <item x="10"/>
        <item t="default"/>
      </items>
    </pivotField>
    <pivotField showAll="0"/>
    <pivotField showAll="0"/>
    <pivotField dataField="1" showAll="0"/>
    <pivotField showAll="0"/>
    <pivotField showAll="0"/>
  </pivotFields>
  <rowFields count="1">
    <field x="0"/>
  </rowFields>
  <rowItems count="2">
    <i>
      <x/>
    </i>
    <i t="grand">
      <x/>
    </i>
  </rowItems>
  <colFields count="1">
    <field x="-2"/>
  </colFields>
  <colItems count="2">
    <i>
      <x/>
    </i>
    <i i="1">
      <x v="1"/>
    </i>
  </colItems>
  <dataFields count="2">
    <dataField name="Manpower count1" fld="11" baseField="0" baseItem="0"/>
    <dataField name="Machines" fld="2" subtotal="count" baseField="0" baseItem="0"/>
  </dataFields>
  <chartFormats count="2">
    <chartFormat chart="1" format="10"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data>
    <tabular pivotCacheId="3">
      <items count="9">
        <i x="5"/>
        <i x="7" s="1"/>
        <i x="0"/>
        <i x="2"/>
        <i x="8"/>
        <i x="1"/>
        <i x="4"/>
        <i x="3"/>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scription" sourceName="Description">
  <data>
    <tabular pivotCacheId="3">
      <items count="49">
        <i x="34" s="1"/>
        <i x="35" s="1"/>
        <i x="23" s="1"/>
        <i x="21" s="1"/>
        <i x="20" s="1"/>
        <i x="3" s="1"/>
        <i x="39" s="1"/>
        <i x="27" s="1"/>
        <i x="28" s="1"/>
        <i x="29" s="1"/>
        <i x="30" s="1"/>
        <i x="31" s="1"/>
        <i x="32" s="1"/>
        <i x="8" s="1"/>
        <i x="4" s="1"/>
        <i x="45" s="1"/>
        <i x="48" s="1"/>
        <i x="46" s="1"/>
        <i x="14" s="1"/>
        <i x="5" s="1"/>
        <i x="1" s="1"/>
        <i x="18" s="1"/>
        <i x="33" s="1"/>
        <i x="13" s="1"/>
        <i x="11" s="1"/>
        <i x="41" s="1"/>
        <i x="24" s="1"/>
        <i x="47" s="1"/>
        <i x="6" s="1"/>
        <i x="22" s="1"/>
        <i x="17" s="1"/>
        <i x="16" s="1"/>
        <i x="44" s="1"/>
        <i x="25" s="1"/>
        <i x="42" s="1"/>
        <i x="43" s="1"/>
        <i x="12" s="1"/>
        <i x="26" s="1"/>
        <i x="9" s="1"/>
        <i x="2" s="1"/>
        <i x="0" s="1"/>
        <i x="40" s="1"/>
        <i x="36" s="1"/>
        <i x="15" s="1"/>
        <i x="37" s="1"/>
        <i x="19" s="1"/>
        <i x="38" s="1"/>
        <i x="7"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eam_Lead" sourceName="Team Lead">
  <data>
    <tabular pivotCacheId="3">
      <items count="11">
        <i x="5" s="1"/>
        <i x="9" s="1"/>
        <i x="1" s="1"/>
        <i x="8" s="1"/>
        <i x="6" s="1"/>
        <i x="7" s="1"/>
        <i x="0" s="1"/>
        <i x="2" s="1"/>
        <i x="3" s="1"/>
        <i x="1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imary" sourceName="Primary">
  <data>
    <tabular pivotCacheId="3">
      <items count="25">
        <i x="19" s="1"/>
        <i x="24" s="1"/>
        <i x="3" s="1"/>
        <i x="11" s="1"/>
        <i x="4" s="1"/>
        <i x="22" s="1"/>
        <i x="0" s="1"/>
        <i x="1" s="1"/>
        <i x="13" s="1"/>
        <i x="17" s="1"/>
        <i x="15" s="1"/>
        <i x="12" s="1"/>
        <i x="10" s="1"/>
        <i x="16" s="1"/>
        <i x="21" s="1"/>
        <i x="2" s="1"/>
        <i x="9" s="1"/>
        <i x="14" s="1"/>
        <i x="7" s="1"/>
        <i x="6" s="1"/>
        <i x="23" s="1"/>
        <i x="20" s="1"/>
        <i x="8" s="1"/>
        <i x="18"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econdary" sourceName="Secondary">
  <data>
    <tabular pivotCacheId="3">
      <items count="53">
        <i x="34" s="1"/>
        <i x="14" s="1"/>
        <i x="3" s="1"/>
        <i x="41" s="1"/>
        <i x="39" s="1"/>
        <i x="22" s="1"/>
        <i x="52" s="1"/>
        <i x="20" s="1"/>
        <i x="33" s="1"/>
        <i x="50" s="1"/>
        <i x="42" s="1"/>
        <i x="5" s="1"/>
        <i x="19" s="1"/>
        <i x="4" s="1"/>
        <i x="36" s="1"/>
        <i x="29" s="1"/>
        <i x="23" s="1"/>
        <i x="17" s="1"/>
        <i x="1" s="1"/>
        <i x="47" s="1"/>
        <i x="6" s="1"/>
        <i x="30" s="1"/>
        <i x="45" s="1"/>
        <i x="8" s="1"/>
        <i x="31" s="1"/>
        <i x="40" s="1"/>
        <i x="0" s="1"/>
        <i x="44" s="1"/>
        <i x="27" s="1"/>
        <i x="37" s="1"/>
        <i x="38" s="1"/>
        <i x="43" s="1"/>
        <i x="28" s="1"/>
        <i x="9" s="1"/>
        <i x="46" s="1"/>
        <i x="49" s="1"/>
        <i x="48" s="1"/>
        <i x="15" s="1"/>
        <i x="51" s="1"/>
        <i x="18" s="1"/>
        <i x="21" s="1"/>
        <i x="13" s="1"/>
        <i x="35" s="1"/>
        <i x="16" s="1"/>
        <i x="7" s="1"/>
        <i x="32" s="1"/>
        <i x="12" s="1"/>
        <i x="26" s="1"/>
        <i x="25" s="1"/>
        <i x="2" s="1"/>
        <i x="24" s="1"/>
        <i x="1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 name="Description" cache="Slicer_Description" caption="Machines" style="SlicerStyleLight2" rowHeight="241300"/>
  <slicer name="Team Lead" cache="Slicer_Team_Lead" caption="Team Lead" style="SlicerStyleLight4" rowHeight="241300"/>
  <slicer name="Primary" cache="Slicer_Primary" caption="Primary" style="SlicerStyleDark5" rowHeight="241300"/>
  <slicer name="Secondary" cache="Slicer_Secondary" caption="Secondary" style="SlicerStyleDark2" rowHeight="241300"/>
</slicers>
</file>

<file path=xl/tables/table1.xml><?xml version="1.0" encoding="utf-8"?>
<table xmlns="http://schemas.openxmlformats.org/spreadsheetml/2006/main" id="1" name="Table1" displayName="Table1" ref="A1:G28" totalsRowShown="0" headerRowDxfId="11" headerRowBorderDxfId="9" tableBorderDxfId="10" totalsRowBorderDxfId="8">
  <autoFilter ref="A1:G28"/>
  <tableColumns count="7">
    <tableColumn id="1" name="SL No" dataDxfId="7"/>
    <tableColumn id="2" name="Department" dataDxfId="6"/>
    <tableColumn id="3" name="Machine" dataDxfId="5"/>
    <tableColumn id="4" name="Machine arrival date" dataDxfId="4"/>
    <tableColumn id="5" name="Installation start " dataDxfId="3"/>
    <tableColumn id="6" name="Installation end" dataDxfId="2"/>
    <tableColumn id="7" name="Remarks" data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tabSelected="1" workbookViewId="0"/>
  </sheetViews>
  <sheetFormatPr defaultRowHeight="15" x14ac:dyDescent="0.25"/>
  <sheetData>
    <row r="1" spans="1:2" x14ac:dyDescent="0.25">
      <c r="A1" t="s">
        <v>506</v>
      </c>
      <c r="B1" t="s">
        <v>507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9"/>
  <sheetViews>
    <sheetView zoomScaleNormal="100" workbookViewId="0">
      <pane xSplit="3" ySplit="2" topLeftCell="D4" activePane="bottomRight" state="frozen"/>
      <selection pane="topRight" activeCell="D1" sqref="D1"/>
      <selection pane="bottomLeft" activeCell="A3" sqref="A3"/>
      <selection pane="bottomRight" activeCell="B7" sqref="B7"/>
    </sheetView>
  </sheetViews>
  <sheetFormatPr defaultRowHeight="15" x14ac:dyDescent="0.25"/>
  <cols>
    <col min="1" max="1" width="22" customWidth="1"/>
    <col min="2" max="2" width="15.140625" bestFit="1" customWidth="1"/>
    <col min="3" max="3" width="14.7109375" customWidth="1"/>
    <col min="4" max="4" width="17.140625" customWidth="1"/>
    <col min="5" max="5" width="17.5703125" customWidth="1"/>
    <col min="6" max="21" width="14.7109375" customWidth="1"/>
    <col min="22" max="22" width="10.42578125" bestFit="1" customWidth="1"/>
  </cols>
  <sheetData>
    <row r="1" spans="1:22" ht="38.25" x14ac:dyDescent="0.25">
      <c r="A1" s="115" t="s">
        <v>416</v>
      </c>
      <c r="B1" s="116" t="s">
        <v>417</v>
      </c>
      <c r="C1" s="117" t="s">
        <v>418</v>
      </c>
      <c r="D1" s="118" t="s">
        <v>419</v>
      </c>
      <c r="E1" s="118" t="s">
        <v>420</v>
      </c>
      <c r="F1" s="117" t="s">
        <v>421</v>
      </c>
      <c r="G1" s="117" t="s">
        <v>46</v>
      </c>
      <c r="H1" s="117" t="s">
        <v>422</v>
      </c>
      <c r="I1" s="117" t="s">
        <v>207</v>
      </c>
      <c r="J1" s="117" t="s">
        <v>423</v>
      </c>
      <c r="K1" s="117" t="s">
        <v>424</v>
      </c>
      <c r="L1" s="117" t="s">
        <v>425</v>
      </c>
      <c r="M1" s="117" t="s">
        <v>426</v>
      </c>
      <c r="N1" s="117" t="s">
        <v>427</v>
      </c>
      <c r="O1" s="117" t="s">
        <v>428</v>
      </c>
      <c r="P1" s="117" t="s">
        <v>216</v>
      </c>
      <c r="Q1" s="117" t="s">
        <v>429</v>
      </c>
      <c r="R1" s="117" t="s">
        <v>430</v>
      </c>
      <c r="S1" s="117" t="s">
        <v>431</v>
      </c>
      <c r="T1" s="117" t="s">
        <v>432</v>
      </c>
      <c r="U1" s="117" t="s">
        <v>433</v>
      </c>
      <c r="V1" s="119"/>
    </row>
    <row r="2" spans="1:22" s="123" customFormat="1" ht="50.25" customHeight="1" thickBot="1" x14ac:dyDescent="0.3">
      <c r="A2" s="120" t="s">
        <v>434</v>
      </c>
      <c r="B2" s="121">
        <v>18</v>
      </c>
      <c r="C2" s="121">
        <v>1</v>
      </c>
      <c r="D2" s="121">
        <v>7</v>
      </c>
      <c r="E2" s="121">
        <v>8</v>
      </c>
      <c r="F2" s="121">
        <v>19</v>
      </c>
      <c r="G2" s="121">
        <v>9</v>
      </c>
      <c r="H2" s="121">
        <v>4</v>
      </c>
      <c r="I2" s="121">
        <v>5</v>
      </c>
      <c r="J2" s="121">
        <v>2</v>
      </c>
      <c r="K2" s="121">
        <v>3</v>
      </c>
      <c r="L2" s="121">
        <v>12</v>
      </c>
      <c r="M2" s="121">
        <v>13</v>
      </c>
      <c r="N2" s="121">
        <v>20</v>
      </c>
      <c r="O2" s="121">
        <v>10</v>
      </c>
      <c r="P2" s="121">
        <v>6</v>
      </c>
      <c r="Q2" s="121">
        <v>11</v>
      </c>
      <c r="R2" s="121">
        <v>16</v>
      </c>
      <c r="S2" s="121">
        <v>14</v>
      </c>
      <c r="T2" s="121">
        <v>15</v>
      </c>
      <c r="U2" s="121">
        <v>17</v>
      </c>
      <c r="V2" s="122"/>
    </row>
    <row r="3" spans="1:22" ht="50.1" hidden="1" customHeight="1" thickBot="1" x14ac:dyDescent="0.3">
      <c r="A3" s="124" t="s">
        <v>435</v>
      </c>
      <c r="B3" s="125" t="s">
        <v>436</v>
      </c>
      <c r="C3" s="125" t="s">
        <v>437</v>
      </c>
      <c r="D3" s="125" t="s">
        <v>438</v>
      </c>
      <c r="E3" s="125" t="s">
        <v>438</v>
      </c>
      <c r="F3" s="125" t="s">
        <v>439</v>
      </c>
      <c r="G3" s="125" t="s">
        <v>439</v>
      </c>
      <c r="H3" s="125" t="s">
        <v>440</v>
      </c>
      <c r="I3" s="125" t="s">
        <v>441</v>
      </c>
      <c r="J3" s="125" t="s">
        <v>437</v>
      </c>
      <c r="K3" s="125" t="s">
        <v>442</v>
      </c>
      <c r="L3" s="125" t="s">
        <v>438</v>
      </c>
      <c r="M3" s="125" t="s">
        <v>436</v>
      </c>
      <c r="N3" s="125" t="s">
        <v>436</v>
      </c>
      <c r="O3" s="125" t="s">
        <v>443</v>
      </c>
      <c r="P3" s="125" t="s">
        <v>438</v>
      </c>
      <c r="Q3" s="126" t="s">
        <v>444</v>
      </c>
      <c r="R3" s="125" t="s">
        <v>445</v>
      </c>
      <c r="S3" s="125"/>
      <c r="T3" s="125"/>
      <c r="U3" s="127" t="s">
        <v>445</v>
      </c>
      <c r="V3" s="119"/>
    </row>
    <row r="4" spans="1:22" ht="72.75" thickBot="1" x14ac:dyDescent="0.3">
      <c r="A4" s="128" t="s">
        <v>446</v>
      </c>
      <c r="B4" s="129" t="s">
        <v>447</v>
      </c>
      <c r="C4" s="130" t="s">
        <v>448</v>
      </c>
      <c r="D4" s="130" t="s">
        <v>448</v>
      </c>
      <c r="E4" s="130" t="s">
        <v>448</v>
      </c>
      <c r="F4" s="131" t="s">
        <v>447</v>
      </c>
      <c r="G4" s="131" t="s">
        <v>447</v>
      </c>
      <c r="H4" s="130" t="s">
        <v>448</v>
      </c>
      <c r="I4" s="130" t="s">
        <v>448</v>
      </c>
      <c r="J4" s="130" t="s">
        <v>448</v>
      </c>
      <c r="K4" s="130" t="s">
        <v>448</v>
      </c>
      <c r="L4" s="130" t="s">
        <v>448</v>
      </c>
      <c r="M4" s="132" t="s">
        <v>447</v>
      </c>
      <c r="N4" s="132" t="s">
        <v>447</v>
      </c>
      <c r="O4" s="130" t="s">
        <v>448</v>
      </c>
      <c r="P4" s="132" t="s">
        <v>447</v>
      </c>
      <c r="Q4" s="132" t="s">
        <v>447</v>
      </c>
      <c r="R4" s="132" t="s">
        <v>447</v>
      </c>
      <c r="S4" s="130" t="s">
        <v>448</v>
      </c>
      <c r="T4" s="132" t="s">
        <v>447</v>
      </c>
      <c r="U4" s="133" t="s">
        <v>447</v>
      </c>
      <c r="V4" s="134"/>
    </row>
    <row r="5" spans="1:22" ht="50.1" customHeight="1" thickBot="1" x14ac:dyDescent="0.3">
      <c r="A5" s="128" t="s">
        <v>449</v>
      </c>
      <c r="B5" s="135">
        <v>46172</v>
      </c>
      <c r="C5" s="131" t="s">
        <v>450</v>
      </c>
      <c r="D5" s="131" t="s">
        <v>450</v>
      </c>
      <c r="E5" s="131" t="s">
        <v>450</v>
      </c>
      <c r="F5" s="131" t="s">
        <v>450</v>
      </c>
      <c r="G5" s="131" t="s">
        <v>450</v>
      </c>
      <c r="H5" s="131" t="s">
        <v>451</v>
      </c>
      <c r="I5" s="132" t="s">
        <v>451</v>
      </c>
      <c r="J5" s="131" t="s">
        <v>450</v>
      </c>
      <c r="K5" s="131" t="s">
        <v>450</v>
      </c>
      <c r="L5" s="131" t="s">
        <v>450</v>
      </c>
      <c r="M5" s="131" t="s">
        <v>450</v>
      </c>
      <c r="N5" s="131" t="s">
        <v>450</v>
      </c>
      <c r="O5" s="131" t="s">
        <v>450</v>
      </c>
      <c r="P5" s="131" t="s">
        <v>451</v>
      </c>
      <c r="Q5" s="131" t="s">
        <v>451</v>
      </c>
      <c r="R5" s="131" t="s">
        <v>452</v>
      </c>
      <c r="S5" s="131" t="s">
        <v>452</v>
      </c>
      <c r="T5" s="131" t="s">
        <v>452</v>
      </c>
      <c r="U5" s="131" t="s">
        <v>452</v>
      </c>
      <c r="V5" s="119"/>
    </row>
    <row r="6" spans="1:22" ht="50.1" customHeight="1" thickBot="1" x14ac:dyDescent="0.3">
      <c r="A6" s="128" t="s">
        <v>453</v>
      </c>
      <c r="B6" s="129" t="s">
        <v>447</v>
      </c>
      <c r="C6" s="132" t="s">
        <v>447</v>
      </c>
      <c r="D6" s="131" t="s">
        <v>450</v>
      </c>
      <c r="E6" s="131" t="s">
        <v>450</v>
      </c>
      <c r="F6" s="131" t="s">
        <v>450</v>
      </c>
      <c r="G6" s="132" t="s">
        <v>447</v>
      </c>
      <c r="H6" s="131" t="s">
        <v>450</v>
      </c>
      <c r="I6" s="132" t="s">
        <v>447</v>
      </c>
      <c r="J6" s="132" t="s">
        <v>447</v>
      </c>
      <c r="K6" s="132" t="s">
        <v>447</v>
      </c>
      <c r="L6" s="131" t="s">
        <v>450</v>
      </c>
      <c r="M6" s="132" t="s">
        <v>447</v>
      </c>
      <c r="N6" s="132" t="s">
        <v>447</v>
      </c>
      <c r="O6" s="132" t="s">
        <v>447</v>
      </c>
      <c r="P6" s="132" t="s">
        <v>447</v>
      </c>
      <c r="Q6" s="132" t="s">
        <v>447</v>
      </c>
      <c r="R6" s="132" t="s">
        <v>447</v>
      </c>
      <c r="S6" s="132" t="s">
        <v>447</v>
      </c>
      <c r="T6" s="132" t="s">
        <v>447</v>
      </c>
      <c r="U6" s="133" t="s">
        <v>447</v>
      </c>
      <c r="V6" s="134"/>
    </row>
    <row r="7" spans="1:22" ht="50.1" customHeight="1" thickBot="1" x14ac:dyDescent="0.3">
      <c r="A7" s="128" t="s">
        <v>454</v>
      </c>
      <c r="B7" s="129" t="s">
        <v>447</v>
      </c>
      <c r="C7" s="132" t="s">
        <v>447</v>
      </c>
      <c r="D7" s="136" t="s">
        <v>455</v>
      </c>
      <c r="E7" s="136" t="s">
        <v>455</v>
      </c>
      <c r="F7" s="131" t="s">
        <v>456</v>
      </c>
      <c r="G7" s="132" t="s">
        <v>447</v>
      </c>
      <c r="H7" s="131" t="s">
        <v>457</v>
      </c>
      <c r="I7" s="132" t="s">
        <v>447</v>
      </c>
      <c r="J7" s="132" t="s">
        <v>447</v>
      </c>
      <c r="K7" s="132" t="s">
        <v>447</v>
      </c>
      <c r="L7" s="131" t="s">
        <v>458</v>
      </c>
      <c r="M7" s="132" t="s">
        <v>447</v>
      </c>
      <c r="N7" s="132" t="s">
        <v>447</v>
      </c>
      <c r="O7" s="132" t="s">
        <v>447</v>
      </c>
      <c r="P7" s="132" t="s">
        <v>447</v>
      </c>
      <c r="Q7" s="132" t="s">
        <v>447</v>
      </c>
      <c r="R7" s="132" t="s">
        <v>447</v>
      </c>
      <c r="S7" s="132" t="s">
        <v>447</v>
      </c>
      <c r="T7" s="132" t="s">
        <v>447</v>
      </c>
      <c r="U7" s="133" t="s">
        <v>447</v>
      </c>
      <c r="V7" s="119"/>
    </row>
    <row r="8" spans="1:22" ht="50.1" customHeight="1" thickBot="1" x14ac:dyDescent="0.3">
      <c r="A8" s="128" t="s">
        <v>459</v>
      </c>
      <c r="B8" s="129" t="s">
        <v>460</v>
      </c>
      <c r="C8" s="132" t="s">
        <v>447</v>
      </c>
      <c r="D8" s="129" t="s">
        <v>460</v>
      </c>
      <c r="E8" s="129" t="s">
        <v>460</v>
      </c>
      <c r="F8" s="129" t="s">
        <v>460</v>
      </c>
      <c r="G8" s="129" t="s">
        <v>460</v>
      </c>
      <c r="H8" s="129" t="s">
        <v>460</v>
      </c>
      <c r="I8" s="129" t="s">
        <v>460</v>
      </c>
      <c r="J8" s="129" t="s">
        <v>460</v>
      </c>
      <c r="K8" s="132" t="s">
        <v>447</v>
      </c>
      <c r="L8" s="129" t="s">
        <v>460</v>
      </c>
      <c r="M8" s="129" t="s">
        <v>460</v>
      </c>
      <c r="N8" s="129" t="s">
        <v>460</v>
      </c>
      <c r="O8" s="132" t="s">
        <v>447</v>
      </c>
      <c r="P8" s="129" t="s">
        <v>460</v>
      </c>
      <c r="Q8" s="129" t="s">
        <v>460</v>
      </c>
      <c r="R8" s="129" t="s">
        <v>460</v>
      </c>
      <c r="S8" s="131"/>
      <c r="T8" s="129" t="s">
        <v>460</v>
      </c>
      <c r="U8" s="129" t="s">
        <v>460</v>
      </c>
      <c r="V8" s="134"/>
    </row>
    <row r="9" spans="1:22" ht="50.1" customHeight="1" thickBot="1" x14ac:dyDescent="0.3">
      <c r="A9" s="128" t="s">
        <v>461</v>
      </c>
      <c r="B9" s="137" t="s">
        <v>462</v>
      </c>
      <c r="C9" s="138" t="s">
        <v>447</v>
      </c>
      <c r="D9" s="139" t="s">
        <v>463</v>
      </c>
      <c r="E9" s="139" t="s">
        <v>463</v>
      </c>
      <c r="F9" s="139" t="s">
        <v>463</v>
      </c>
      <c r="G9" s="137" t="s">
        <v>464</v>
      </c>
      <c r="H9" s="139" t="s">
        <v>463</v>
      </c>
      <c r="I9" s="137" t="s">
        <v>465</v>
      </c>
      <c r="J9" s="139">
        <v>46210</v>
      </c>
      <c r="K9" s="131" t="s">
        <v>466</v>
      </c>
      <c r="L9" s="139">
        <v>46198</v>
      </c>
      <c r="M9" s="139" t="s">
        <v>467</v>
      </c>
      <c r="N9" s="137" t="s">
        <v>464</v>
      </c>
      <c r="O9" s="132" t="s">
        <v>447</v>
      </c>
      <c r="P9" s="140" t="s">
        <v>468</v>
      </c>
      <c r="Q9" s="139">
        <v>46216</v>
      </c>
      <c r="R9" s="139">
        <v>46216</v>
      </c>
      <c r="S9" s="137">
        <v>46199</v>
      </c>
      <c r="T9" s="137">
        <v>46199</v>
      </c>
      <c r="U9" s="141">
        <v>46220</v>
      </c>
      <c r="V9" s="134"/>
    </row>
    <row r="10" spans="1:22" ht="50.1" customHeight="1" thickBot="1" x14ac:dyDescent="0.3">
      <c r="A10" s="128" t="s">
        <v>469</v>
      </c>
      <c r="B10" s="129" t="s">
        <v>450</v>
      </c>
      <c r="C10" s="132" t="s">
        <v>447</v>
      </c>
      <c r="D10" s="131" t="s">
        <v>447</v>
      </c>
      <c r="E10" s="131" t="s">
        <v>447</v>
      </c>
      <c r="F10" s="131" t="s">
        <v>447</v>
      </c>
      <c r="G10" s="131" t="s">
        <v>447</v>
      </c>
      <c r="H10" s="131" t="s">
        <v>447</v>
      </c>
      <c r="I10" s="131" t="s">
        <v>450</v>
      </c>
      <c r="J10" s="131" t="s">
        <v>447</v>
      </c>
      <c r="K10" s="131" t="s">
        <v>447</v>
      </c>
      <c r="L10" s="132" t="s">
        <v>447</v>
      </c>
      <c r="M10" s="132" t="s">
        <v>447</v>
      </c>
      <c r="N10" s="132" t="s">
        <v>447</v>
      </c>
      <c r="O10" s="132" t="s">
        <v>447</v>
      </c>
      <c r="P10" s="132">
        <v>46172</v>
      </c>
      <c r="Q10" s="132" t="s">
        <v>447</v>
      </c>
      <c r="R10" s="132" t="s">
        <v>447</v>
      </c>
      <c r="S10" s="132" t="s">
        <v>447</v>
      </c>
      <c r="T10" s="132" t="s">
        <v>447</v>
      </c>
      <c r="U10" s="133" t="s">
        <v>447</v>
      </c>
      <c r="V10" s="119"/>
    </row>
    <row r="11" spans="1:22" ht="50.1" customHeight="1" thickBot="1" x14ac:dyDescent="0.3">
      <c r="A11" s="128" t="s">
        <v>470</v>
      </c>
      <c r="B11" s="135" t="s">
        <v>471</v>
      </c>
      <c r="C11" s="132" t="s">
        <v>447</v>
      </c>
      <c r="D11" s="131" t="s">
        <v>447</v>
      </c>
      <c r="E11" s="131" t="s">
        <v>447</v>
      </c>
      <c r="F11" s="131" t="s">
        <v>447</v>
      </c>
      <c r="G11" s="131" t="s">
        <v>447</v>
      </c>
      <c r="H11" s="131" t="s">
        <v>447</v>
      </c>
      <c r="I11" s="131" t="s">
        <v>471</v>
      </c>
      <c r="J11" s="131" t="s">
        <v>447</v>
      </c>
      <c r="K11" s="131" t="s">
        <v>447</v>
      </c>
      <c r="L11" s="132" t="s">
        <v>447</v>
      </c>
      <c r="M11" s="132" t="s">
        <v>447</v>
      </c>
      <c r="N11" s="132" t="s">
        <v>447</v>
      </c>
      <c r="O11" s="132" t="s">
        <v>447</v>
      </c>
      <c r="P11" s="131" t="s">
        <v>471</v>
      </c>
      <c r="Q11" s="132" t="s">
        <v>447</v>
      </c>
      <c r="R11" s="132" t="s">
        <v>447</v>
      </c>
      <c r="S11" s="132" t="s">
        <v>447</v>
      </c>
      <c r="T11" s="132" t="s">
        <v>447</v>
      </c>
      <c r="U11" s="133" t="s">
        <v>447</v>
      </c>
      <c r="V11" s="119"/>
    </row>
    <row r="12" spans="1:22" ht="50.1" customHeight="1" thickBot="1" x14ac:dyDescent="0.3">
      <c r="A12" s="128" t="s">
        <v>472</v>
      </c>
      <c r="B12" s="129" t="s">
        <v>447</v>
      </c>
      <c r="C12" s="131">
        <v>46218</v>
      </c>
      <c r="D12" s="131" t="s">
        <v>447</v>
      </c>
      <c r="E12" s="131" t="s">
        <v>447</v>
      </c>
      <c r="F12" s="131" t="s">
        <v>447</v>
      </c>
      <c r="G12" s="131" t="s">
        <v>447</v>
      </c>
      <c r="H12" s="131">
        <v>46218</v>
      </c>
      <c r="I12" s="132" t="s">
        <v>447</v>
      </c>
      <c r="J12" s="131">
        <v>46218</v>
      </c>
      <c r="K12" s="131">
        <v>46218</v>
      </c>
      <c r="L12" s="132" t="s">
        <v>447</v>
      </c>
      <c r="M12" s="132" t="s">
        <v>447</v>
      </c>
      <c r="N12" s="132" t="s">
        <v>447</v>
      </c>
      <c r="O12" s="131">
        <v>46218</v>
      </c>
      <c r="P12" s="132" t="s">
        <v>447</v>
      </c>
      <c r="Q12" s="132" t="s">
        <v>447</v>
      </c>
      <c r="R12" s="132" t="s">
        <v>447</v>
      </c>
      <c r="S12" s="131">
        <v>46218</v>
      </c>
      <c r="T12" s="132" t="s">
        <v>447</v>
      </c>
      <c r="U12" s="133" t="s">
        <v>447</v>
      </c>
      <c r="V12" s="119"/>
    </row>
    <row r="13" spans="1:22" ht="50.1" customHeight="1" thickBot="1" x14ac:dyDescent="0.3">
      <c r="A13" s="128" t="s">
        <v>473</v>
      </c>
      <c r="B13" s="132" t="s">
        <v>474</v>
      </c>
      <c r="C13" s="132" t="s">
        <v>474</v>
      </c>
      <c r="D13" s="132" t="s">
        <v>474</v>
      </c>
      <c r="E13" s="132" t="s">
        <v>474</v>
      </c>
      <c r="F13" s="132" t="s">
        <v>474</v>
      </c>
      <c r="G13" s="132" t="s">
        <v>474</v>
      </c>
      <c r="H13" s="132" t="s">
        <v>474</v>
      </c>
      <c r="I13" s="132" t="s">
        <v>474</v>
      </c>
      <c r="J13" s="132" t="s">
        <v>474</v>
      </c>
      <c r="K13" s="132" t="s">
        <v>474</v>
      </c>
      <c r="L13" s="132" t="s">
        <v>474</v>
      </c>
      <c r="M13" s="132" t="s">
        <v>474</v>
      </c>
      <c r="N13" s="132" t="s">
        <v>474</v>
      </c>
      <c r="O13" s="132" t="s">
        <v>474</v>
      </c>
      <c r="P13" s="132" t="s">
        <v>474</v>
      </c>
      <c r="Q13" s="132" t="s">
        <v>474</v>
      </c>
      <c r="R13" s="132" t="s">
        <v>474</v>
      </c>
      <c r="S13" s="132" t="s">
        <v>474</v>
      </c>
      <c r="T13" s="132" t="s">
        <v>474</v>
      </c>
      <c r="U13" s="132" t="s">
        <v>474</v>
      </c>
      <c r="V13" s="119"/>
    </row>
    <row r="14" spans="1:22" ht="50.1" customHeight="1" thickBot="1" x14ac:dyDescent="0.3">
      <c r="A14" s="128" t="s">
        <v>475</v>
      </c>
      <c r="B14" s="131" t="s">
        <v>476</v>
      </c>
      <c r="C14" s="131" t="s">
        <v>476</v>
      </c>
      <c r="D14" s="131" t="s">
        <v>476</v>
      </c>
      <c r="E14" s="131" t="s">
        <v>476</v>
      </c>
      <c r="F14" s="131" t="s">
        <v>476</v>
      </c>
      <c r="G14" s="131" t="s">
        <v>476</v>
      </c>
      <c r="H14" s="131" t="s">
        <v>476</v>
      </c>
      <c r="I14" s="131" t="s">
        <v>476</v>
      </c>
      <c r="J14" s="131" t="s">
        <v>476</v>
      </c>
      <c r="K14" s="131" t="s">
        <v>476</v>
      </c>
      <c r="L14" s="131" t="s">
        <v>476</v>
      </c>
      <c r="M14" s="131" t="s">
        <v>476</v>
      </c>
      <c r="N14" s="131" t="s">
        <v>476</v>
      </c>
      <c r="O14" s="131" t="s">
        <v>476</v>
      </c>
      <c r="P14" s="131" t="s">
        <v>476</v>
      </c>
      <c r="Q14" s="131" t="s">
        <v>476</v>
      </c>
      <c r="R14" s="131" t="s">
        <v>476</v>
      </c>
      <c r="S14" s="131" t="s">
        <v>476</v>
      </c>
      <c r="T14" s="131" t="s">
        <v>476</v>
      </c>
      <c r="U14" s="131" t="s">
        <v>476</v>
      </c>
      <c r="V14" s="119"/>
    </row>
    <row r="15" spans="1:22" ht="72.75" thickBot="1" x14ac:dyDescent="0.3">
      <c r="A15" s="128" t="s">
        <v>477</v>
      </c>
      <c r="B15" s="129" t="s">
        <v>447</v>
      </c>
      <c r="C15" s="130" t="s">
        <v>448</v>
      </c>
      <c r="D15" s="130" t="s">
        <v>448</v>
      </c>
      <c r="E15" s="130" t="s">
        <v>448</v>
      </c>
      <c r="F15" s="132" t="s">
        <v>447</v>
      </c>
      <c r="G15" s="132" t="s">
        <v>447</v>
      </c>
      <c r="H15" s="130" t="s">
        <v>448</v>
      </c>
      <c r="I15" s="130" t="s">
        <v>448</v>
      </c>
      <c r="J15" s="130" t="s">
        <v>448</v>
      </c>
      <c r="K15" s="130" t="s">
        <v>448</v>
      </c>
      <c r="L15" s="130" t="s">
        <v>448</v>
      </c>
      <c r="M15" s="132" t="s">
        <v>447</v>
      </c>
      <c r="N15" s="132" t="s">
        <v>447</v>
      </c>
      <c r="O15" s="130" t="s">
        <v>448</v>
      </c>
      <c r="P15" s="132" t="s">
        <v>447</v>
      </c>
      <c r="Q15" s="132" t="s">
        <v>447</v>
      </c>
      <c r="R15" s="132" t="s">
        <v>447</v>
      </c>
      <c r="S15" s="130" t="s">
        <v>478</v>
      </c>
      <c r="T15" s="132" t="s">
        <v>447</v>
      </c>
      <c r="U15" s="142" t="s">
        <v>447</v>
      </c>
      <c r="V15" s="134"/>
    </row>
    <row r="16" spans="1:22" ht="50.1" customHeight="1" thickBot="1" x14ac:dyDescent="0.3">
      <c r="A16" s="128" t="s">
        <v>479</v>
      </c>
      <c r="B16" s="129" t="s">
        <v>447</v>
      </c>
      <c r="C16" s="143" t="s">
        <v>480</v>
      </c>
      <c r="D16" s="143" t="s">
        <v>480</v>
      </c>
      <c r="E16" s="143" t="s">
        <v>480</v>
      </c>
      <c r="F16" s="132" t="s">
        <v>447</v>
      </c>
      <c r="G16" s="132" t="s">
        <v>447</v>
      </c>
      <c r="H16" s="143" t="s">
        <v>480</v>
      </c>
      <c r="I16" s="143" t="s">
        <v>480</v>
      </c>
      <c r="J16" s="143" t="s">
        <v>480</v>
      </c>
      <c r="K16" s="143" t="s">
        <v>480</v>
      </c>
      <c r="L16" s="143" t="s">
        <v>480</v>
      </c>
      <c r="M16" s="132" t="s">
        <v>447</v>
      </c>
      <c r="N16" s="132" t="s">
        <v>447</v>
      </c>
      <c r="O16" s="143" t="s">
        <v>480</v>
      </c>
      <c r="P16" s="132" t="s">
        <v>447</v>
      </c>
      <c r="Q16" s="132" t="s">
        <v>447</v>
      </c>
      <c r="R16" s="132" t="s">
        <v>447</v>
      </c>
      <c r="S16" s="129">
        <v>46208</v>
      </c>
      <c r="T16" s="132" t="s">
        <v>447</v>
      </c>
      <c r="U16" s="142" t="s">
        <v>447</v>
      </c>
      <c r="V16" s="119"/>
    </row>
    <row r="17" spans="1:22" ht="50.1" customHeight="1" thickBot="1" x14ac:dyDescent="0.3">
      <c r="A17" s="128" t="s">
        <v>481</v>
      </c>
      <c r="B17" s="144" t="s">
        <v>482</v>
      </c>
      <c r="C17" s="144" t="s">
        <v>482</v>
      </c>
      <c r="D17" s="144" t="s">
        <v>482</v>
      </c>
      <c r="E17" s="144" t="s">
        <v>482</v>
      </c>
      <c r="F17" s="144" t="s">
        <v>482</v>
      </c>
      <c r="G17" s="144" t="s">
        <v>482</v>
      </c>
      <c r="H17" s="144" t="s">
        <v>482</v>
      </c>
      <c r="I17" s="144" t="s">
        <v>482</v>
      </c>
      <c r="J17" s="144" t="s">
        <v>482</v>
      </c>
      <c r="K17" s="144" t="s">
        <v>482</v>
      </c>
      <c r="L17" s="144" t="s">
        <v>482</v>
      </c>
      <c r="M17" s="144" t="s">
        <v>482</v>
      </c>
      <c r="N17" s="144" t="s">
        <v>482</v>
      </c>
      <c r="O17" s="144" t="s">
        <v>482</v>
      </c>
      <c r="P17" s="144" t="s">
        <v>482</v>
      </c>
      <c r="Q17" s="144" t="s">
        <v>482</v>
      </c>
      <c r="R17" s="144" t="s">
        <v>482</v>
      </c>
      <c r="S17" s="144" t="s">
        <v>482</v>
      </c>
      <c r="T17" s="144" t="s">
        <v>482</v>
      </c>
      <c r="U17" s="144" t="s">
        <v>482</v>
      </c>
      <c r="V17" s="119"/>
    </row>
    <row r="18" spans="1:22" ht="50.1" customHeight="1" thickBot="1" x14ac:dyDescent="0.3">
      <c r="A18" s="128" t="s">
        <v>483</v>
      </c>
      <c r="B18" s="139">
        <v>46218</v>
      </c>
      <c r="C18" s="139">
        <v>46218</v>
      </c>
      <c r="D18" s="139">
        <v>46218</v>
      </c>
      <c r="E18" s="139">
        <v>46218</v>
      </c>
      <c r="F18" s="139">
        <v>46218</v>
      </c>
      <c r="G18" s="139">
        <v>46218</v>
      </c>
      <c r="H18" s="139">
        <v>46218</v>
      </c>
      <c r="I18" s="139">
        <v>46218</v>
      </c>
      <c r="J18" s="139">
        <v>46228</v>
      </c>
      <c r="K18" s="139">
        <v>46218</v>
      </c>
      <c r="L18" s="139">
        <v>46218</v>
      </c>
      <c r="M18" s="139">
        <v>46218</v>
      </c>
      <c r="N18" s="139">
        <v>46218</v>
      </c>
      <c r="O18" s="139">
        <v>46218</v>
      </c>
      <c r="P18" s="139">
        <v>46218</v>
      </c>
      <c r="Q18" s="139">
        <v>46218</v>
      </c>
      <c r="R18" s="139">
        <v>46218</v>
      </c>
      <c r="S18" s="139">
        <v>46218</v>
      </c>
      <c r="T18" s="139">
        <v>46218</v>
      </c>
      <c r="U18" s="139">
        <v>46218</v>
      </c>
      <c r="V18" s="119"/>
    </row>
    <row r="19" spans="1:22" ht="50.1" customHeight="1" thickBot="1" x14ac:dyDescent="0.3">
      <c r="A19" s="128" t="s">
        <v>484</v>
      </c>
      <c r="B19" s="135" t="s">
        <v>485</v>
      </c>
      <c r="C19" s="135" t="s">
        <v>485</v>
      </c>
      <c r="D19" s="135" t="s">
        <v>485</v>
      </c>
      <c r="E19" s="135" t="s">
        <v>485</v>
      </c>
      <c r="F19" s="135" t="s">
        <v>485</v>
      </c>
      <c r="G19" s="135" t="s">
        <v>485</v>
      </c>
      <c r="H19" s="135" t="s">
        <v>485</v>
      </c>
      <c r="I19" s="135" t="s">
        <v>485</v>
      </c>
      <c r="J19" s="135" t="s">
        <v>485</v>
      </c>
      <c r="K19" s="135" t="s">
        <v>485</v>
      </c>
      <c r="L19" s="135" t="s">
        <v>485</v>
      </c>
      <c r="M19" s="135" t="s">
        <v>485</v>
      </c>
      <c r="N19" s="135" t="s">
        <v>485</v>
      </c>
      <c r="O19" s="135" t="s">
        <v>485</v>
      </c>
      <c r="P19" s="135" t="s">
        <v>485</v>
      </c>
      <c r="Q19" s="135" t="s">
        <v>485</v>
      </c>
      <c r="R19" s="135" t="s">
        <v>485</v>
      </c>
      <c r="S19" s="135" t="s">
        <v>485</v>
      </c>
      <c r="T19" s="135" t="s">
        <v>485</v>
      </c>
      <c r="U19" s="135" t="s">
        <v>485</v>
      </c>
      <c r="V19" s="119"/>
    </row>
    <row r="20" spans="1:22" ht="50.1" customHeight="1" thickBot="1" x14ac:dyDescent="0.3">
      <c r="A20" s="128" t="s">
        <v>486</v>
      </c>
      <c r="B20" s="135" t="s">
        <v>447</v>
      </c>
      <c r="C20" s="131" t="s">
        <v>487</v>
      </c>
      <c r="D20" s="131" t="s">
        <v>488</v>
      </c>
      <c r="E20" s="131" t="s">
        <v>487</v>
      </c>
      <c r="F20" s="131" t="s">
        <v>487</v>
      </c>
      <c r="G20" s="131" t="s">
        <v>447</v>
      </c>
      <c r="H20" s="131" t="s">
        <v>487</v>
      </c>
      <c r="I20" s="131" t="s">
        <v>447</v>
      </c>
      <c r="J20" s="131" t="s">
        <v>487</v>
      </c>
      <c r="K20" s="131" t="s">
        <v>487</v>
      </c>
      <c r="L20" s="131" t="s">
        <v>487</v>
      </c>
      <c r="M20" s="131" t="s">
        <v>487</v>
      </c>
      <c r="N20" s="131" t="s">
        <v>487</v>
      </c>
      <c r="O20" s="131" t="s">
        <v>487</v>
      </c>
      <c r="P20" s="131" t="s">
        <v>487</v>
      </c>
      <c r="Q20" s="131" t="s">
        <v>487</v>
      </c>
      <c r="R20" s="131" t="s">
        <v>487</v>
      </c>
      <c r="S20" s="131" t="s">
        <v>447</v>
      </c>
      <c r="T20" s="131" t="s">
        <v>447</v>
      </c>
      <c r="U20" s="142" t="s">
        <v>447</v>
      </c>
      <c r="V20" s="119"/>
    </row>
    <row r="21" spans="1:22" ht="50.1" customHeight="1" thickBot="1" x14ac:dyDescent="0.3">
      <c r="A21" s="128" t="s">
        <v>489</v>
      </c>
      <c r="B21" s="135" t="s">
        <v>447</v>
      </c>
      <c r="C21" s="135">
        <v>46218</v>
      </c>
      <c r="D21" s="135">
        <v>46218</v>
      </c>
      <c r="E21" s="135">
        <v>46218</v>
      </c>
      <c r="F21" s="135">
        <v>46218</v>
      </c>
      <c r="G21" s="131" t="s">
        <v>447</v>
      </c>
      <c r="H21" s="135">
        <v>46218</v>
      </c>
      <c r="I21" s="135">
        <v>46218</v>
      </c>
      <c r="J21" s="135">
        <v>46218</v>
      </c>
      <c r="K21" s="135">
        <v>46218</v>
      </c>
      <c r="L21" s="135">
        <v>46218</v>
      </c>
      <c r="M21" s="135">
        <v>46218</v>
      </c>
      <c r="N21" s="135">
        <v>46218</v>
      </c>
      <c r="O21" s="135">
        <v>46218</v>
      </c>
      <c r="P21" s="135">
        <v>46218</v>
      </c>
      <c r="Q21" s="135">
        <v>46218</v>
      </c>
      <c r="R21" s="135">
        <v>46218</v>
      </c>
      <c r="S21" s="131" t="s">
        <v>447</v>
      </c>
      <c r="T21" s="131" t="s">
        <v>447</v>
      </c>
      <c r="U21" s="131" t="s">
        <v>447</v>
      </c>
      <c r="V21" s="119"/>
    </row>
    <row r="22" spans="1:22" ht="48.75" thickBot="1" x14ac:dyDescent="0.3">
      <c r="A22" s="128" t="s">
        <v>490</v>
      </c>
      <c r="B22" s="139" t="s">
        <v>491</v>
      </c>
      <c r="C22" s="139" t="s">
        <v>450</v>
      </c>
      <c r="D22" s="139" t="s">
        <v>450</v>
      </c>
      <c r="E22" s="139" t="s">
        <v>450</v>
      </c>
      <c r="F22" s="139" t="s">
        <v>492</v>
      </c>
      <c r="G22" s="139" t="s">
        <v>450</v>
      </c>
      <c r="H22" s="139" t="s">
        <v>493</v>
      </c>
      <c r="I22" s="139" t="s">
        <v>450</v>
      </c>
      <c r="J22" s="139" t="s">
        <v>450</v>
      </c>
      <c r="K22" s="139" t="s">
        <v>491</v>
      </c>
      <c r="L22" s="139" t="s">
        <v>494</v>
      </c>
      <c r="M22" s="139" t="s">
        <v>491</v>
      </c>
      <c r="N22" s="139" t="s">
        <v>491</v>
      </c>
      <c r="O22" s="139" t="s">
        <v>450</v>
      </c>
      <c r="P22" s="139" t="s">
        <v>450</v>
      </c>
      <c r="Q22" s="139" t="s">
        <v>491</v>
      </c>
      <c r="R22" s="139" t="s">
        <v>491</v>
      </c>
      <c r="S22" s="139" t="s">
        <v>491</v>
      </c>
      <c r="T22" s="139" t="s">
        <v>491</v>
      </c>
      <c r="U22" s="139" t="s">
        <v>491</v>
      </c>
      <c r="V22" s="119"/>
    </row>
    <row r="23" spans="1:22" ht="39" thickBot="1" x14ac:dyDescent="0.3">
      <c r="A23" s="124" t="s">
        <v>495</v>
      </c>
      <c r="B23" s="131" t="s">
        <v>447</v>
      </c>
      <c r="C23" s="131" t="s">
        <v>496</v>
      </c>
      <c r="D23" s="131" t="s">
        <v>496</v>
      </c>
      <c r="E23" s="131" t="s">
        <v>496</v>
      </c>
      <c r="F23" s="131" t="s">
        <v>496</v>
      </c>
      <c r="G23" s="131" t="s">
        <v>447</v>
      </c>
      <c r="H23" s="131" t="s">
        <v>496</v>
      </c>
      <c r="I23" s="131" t="s">
        <v>447</v>
      </c>
      <c r="J23" s="131" t="s">
        <v>496</v>
      </c>
      <c r="K23" s="131" t="s">
        <v>496</v>
      </c>
      <c r="L23" s="131" t="s">
        <v>496</v>
      </c>
      <c r="M23" s="131" t="s">
        <v>496</v>
      </c>
      <c r="N23" s="131" t="s">
        <v>496</v>
      </c>
      <c r="O23" s="131" t="s">
        <v>496</v>
      </c>
      <c r="P23" s="131" t="s">
        <v>447</v>
      </c>
      <c r="Q23" s="131" t="s">
        <v>447</v>
      </c>
      <c r="R23" s="131" t="s">
        <v>447</v>
      </c>
      <c r="S23" s="131" t="s">
        <v>447</v>
      </c>
      <c r="T23" s="131" t="s">
        <v>447</v>
      </c>
      <c r="U23" s="131" t="s">
        <v>447</v>
      </c>
      <c r="V23" s="119"/>
    </row>
    <row r="24" spans="1:22" ht="50.1" customHeight="1" thickBot="1" x14ac:dyDescent="0.3">
      <c r="A24" s="124" t="s">
        <v>497</v>
      </c>
      <c r="B24" s="131" t="s">
        <v>498</v>
      </c>
      <c r="C24" s="131" t="s">
        <v>499</v>
      </c>
      <c r="D24" s="131" t="s">
        <v>499</v>
      </c>
      <c r="E24" s="131" t="s">
        <v>499</v>
      </c>
      <c r="F24" s="131" t="s">
        <v>498</v>
      </c>
      <c r="G24" s="131" t="s">
        <v>500</v>
      </c>
      <c r="H24" s="131" t="s">
        <v>501</v>
      </c>
      <c r="I24" s="131" t="s">
        <v>502</v>
      </c>
      <c r="J24" s="131" t="s">
        <v>501</v>
      </c>
      <c r="K24" s="131" t="s">
        <v>447</v>
      </c>
      <c r="L24" s="131" t="s">
        <v>502</v>
      </c>
      <c r="M24" s="131" t="s">
        <v>503</v>
      </c>
      <c r="N24" s="131" t="s">
        <v>447</v>
      </c>
      <c r="O24" s="131" t="s">
        <v>504</v>
      </c>
      <c r="P24" s="131" t="s">
        <v>502</v>
      </c>
      <c r="Q24" s="131" t="s">
        <v>498</v>
      </c>
      <c r="R24" s="131" t="s">
        <v>498</v>
      </c>
      <c r="S24" s="131" t="s">
        <v>498</v>
      </c>
      <c r="T24" s="131" t="s">
        <v>498</v>
      </c>
      <c r="U24" s="131" t="s">
        <v>498</v>
      </c>
      <c r="V24" s="119"/>
    </row>
    <row r="25" spans="1:22" ht="50.1" customHeight="1" thickBot="1" x14ac:dyDescent="0.3">
      <c r="A25" s="128" t="s">
        <v>505</v>
      </c>
      <c r="B25" s="145"/>
      <c r="C25" s="146"/>
      <c r="D25" s="146"/>
      <c r="E25" s="146"/>
      <c r="F25" s="146"/>
      <c r="G25" s="146"/>
      <c r="H25" s="146"/>
      <c r="I25" s="146"/>
      <c r="J25" s="146"/>
      <c r="K25" s="146"/>
      <c r="L25" s="146"/>
      <c r="M25" s="146"/>
      <c r="N25" s="146"/>
      <c r="O25" s="146"/>
      <c r="P25" s="146"/>
      <c r="Q25" s="146"/>
      <c r="R25" s="146"/>
      <c r="S25" s="146"/>
      <c r="T25" s="146"/>
      <c r="U25" s="147"/>
      <c r="V25" s="119"/>
    </row>
    <row r="26" spans="1:22" ht="35.1" customHeight="1" x14ac:dyDescent="0.25">
      <c r="A26" s="119"/>
      <c r="B26" s="119"/>
      <c r="C26" s="119"/>
      <c r="D26" s="119"/>
      <c r="E26" s="119"/>
      <c r="F26" s="119"/>
      <c r="G26" s="119"/>
      <c r="H26" s="119"/>
      <c r="I26" s="148"/>
      <c r="J26" s="119"/>
      <c r="K26" s="149"/>
      <c r="L26" s="119"/>
      <c r="M26" s="119"/>
      <c r="N26" s="119"/>
      <c r="O26" s="119"/>
      <c r="P26" s="119"/>
      <c r="Q26" s="119"/>
      <c r="R26" s="119"/>
      <c r="S26" s="119"/>
      <c r="T26" s="119"/>
      <c r="U26" s="119"/>
      <c r="V26" s="119"/>
    </row>
    <row r="27" spans="1:22" ht="35.1" customHeight="1" x14ac:dyDescent="0.25">
      <c r="A27" s="119"/>
      <c r="B27" s="119"/>
      <c r="C27" s="119"/>
      <c r="D27" s="119"/>
      <c r="E27" s="119"/>
      <c r="F27" s="119"/>
      <c r="G27" s="119"/>
      <c r="H27" s="119"/>
      <c r="I27" s="150"/>
      <c r="J27" s="119"/>
      <c r="K27" s="151"/>
      <c r="L27" s="119"/>
      <c r="M27" s="119"/>
      <c r="N27" s="119"/>
      <c r="O27" s="119"/>
      <c r="P27" s="119"/>
      <c r="Q27" s="119"/>
      <c r="R27" s="119"/>
      <c r="S27" s="119"/>
      <c r="T27" s="119"/>
      <c r="U27" s="119"/>
      <c r="V27" s="119"/>
    </row>
    <row r="28" spans="1:22" ht="35.1" customHeight="1" x14ac:dyDescent="0.25">
      <c r="A28" s="119"/>
      <c r="B28" s="119"/>
      <c r="C28" s="119"/>
      <c r="D28" s="119"/>
      <c r="E28" s="119"/>
      <c r="F28" s="119"/>
      <c r="G28" s="119"/>
      <c r="H28" s="119"/>
      <c r="I28" s="150"/>
      <c r="J28" s="119"/>
      <c r="K28" s="151"/>
      <c r="L28" s="119"/>
      <c r="M28" s="119"/>
      <c r="N28" s="119"/>
      <c r="O28" s="119"/>
      <c r="P28" s="119"/>
      <c r="Q28" s="119"/>
      <c r="R28" s="119"/>
      <c r="S28" s="119"/>
      <c r="T28" s="119"/>
      <c r="U28" s="119"/>
      <c r="V28" s="119"/>
    </row>
    <row r="29" spans="1:22" ht="35.1" customHeight="1" x14ac:dyDescent="0.25">
      <c r="A29" s="119"/>
      <c r="B29" s="119"/>
      <c r="C29" s="119"/>
      <c r="D29" s="119"/>
      <c r="E29" s="119"/>
      <c r="F29" s="119"/>
      <c r="G29" s="119"/>
      <c r="H29" s="119"/>
      <c r="I29" s="150"/>
      <c r="J29" s="119"/>
      <c r="K29" s="151"/>
      <c r="L29" s="119"/>
      <c r="M29" s="119"/>
      <c r="N29" s="119"/>
      <c r="O29" s="119"/>
      <c r="P29" s="119"/>
      <c r="Q29" s="119"/>
      <c r="R29" s="119"/>
      <c r="S29" s="119"/>
      <c r="T29" s="119"/>
      <c r="U29" s="119"/>
      <c r="V29" s="119"/>
    </row>
    <row r="30" spans="1:22" ht="35.1" customHeight="1" x14ac:dyDescent="0.25">
      <c r="A30" s="119"/>
      <c r="B30" s="119"/>
      <c r="C30" s="119"/>
      <c r="D30" s="119"/>
      <c r="E30" s="119"/>
      <c r="F30" s="119"/>
      <c r="G30" s="119"/>
      <c r="H30" s="119"/>
      <c r="I30" s="150"/>
      <c r="J30" s="119"/>
      <c r="K30" s="119"/>
      <c r="L30" s="119"/>
      <c r="M30" s="119"/>
      <c r="N30" s="119"/>
      <c r="O30" s="119"/>
      <c r="P30" s="119"/>
      <c r="Q30" s="119"/>
      <c r="R30" s="119"/>
      <c r="S30" s="119"/>
      <c r="T30" s="119"/>
      <c r="U30" s="119"/>
      <c r="V30" s="119"/>
    </row>
    <row r="31" spans="1:22" x14ac:dyDescent="0.25">
      <c r="B31" s="152"/>
      <c r="C31" s="152"/>
      <c r="D31" s="152"/>
      <c r="E31" s="152"/>
      <c r="F31" s="152"/>
      <c r="G31" s="152"/>
      <c r="H31" s="152"/>
      <c r="I31" s="152"/>
      <c r="J31" s="152"/>
      <c r="K31" s="152"/>
      <c r="L31" s="152"/>
      <c r="M31" s="152"/>
      <c r="N31" s="152"/>
      <c r="O31" s="152"/>
      <c r="P31" s="152"/>
      <c r="Q31" s="152"/>
      <c r="R31" s="152"/>
      <c r="S31" s="152"/>
      <c r="T31" s="152"/>
      <c r="U31" s="152"/>
      <c r="V31" s="152"/>
    </row>
    <row r="32" spans="1:22" x14ac:dyDescent="0.25">
      <c r="B32" s="152"/>
      <c r="C32" s="152"/>
      <c r="D32" s="152"/>
      <c r="E32" s="152"/>
      <c r="F32" s="152"/>
      <c r="G32" s="152"/>
      <c r="H32" s="152"/>
      <c r="I32" s="152"/>
      <c r="J32" s="152"/>
      <c r="K32" s="152"/>
      <c r="L32" s="152"/>
      <c r="M32" s="152"/>
      <c r="N32" s="152"/>
      <c r="O32" s="152"/>
      <c r="P32" s="152"/>
      <c r="Q32" s="152"/>
      <c r="R32" s="152"/>
      <c r="S32" s="152"/>
      <c r="T32" s="152"/>
      <c r="U32" s="152"/>
      <c r="V32" s="152"/>
    </row>
    <row r="33" spans="2:22" x14ac:dyDescent="0.25">
      <c r="B33" s="152"/>
      <c r="C33" s="152"/>
      <c r="D33" s="152"/>
      <c r="E33" s="152"/>
      <c r="F33" s="152"/>
      <c r="G33" s="152"/>
      <c r="H33" s="152"/>
      <c r="I33" s="152"/>
      <c r="J33" s="152"/>
      <c r="K33" s="152"/>
      <c r="L33" s="152"/>
      <c r="M33" s="152"/>
      <c r="N33" s="152"/>
      <c r="O33" s="152"/>
      <c r="P33" s="152"/>
      <c r="Q33" s="152"/>
      <c r="R33" s="152"/>
      <c r="S33" s="152"/>
      <c r="T33" s="152"/>
      <c r="U33" s="152"/>
      <c r="V33" s="152"/>
    </row>
    <row r="34" spans="2:22" x14ac:dyDescent="0.25">
      <c r="B34" s="152"/>
      <c r="C34" s="152"/>
      <c r="D34" s="152"/>
      <c r="E34" s="152"/>
      <c r="F34" s="152"/>
      <c r="G34" s="152"/>
      <c r="H34" s="152"/>
      <c r="I34" s="152"/>
      <c r="J34" s="152"/>
      <c r="K34" s="152"/>
      <c r="L34" s="152"/>
      <c r="M34" s="152"/>
      <c r="N34" s="152"/>
      <c r="O34" s="152"/>
      <c r="P34" s="152"/>
      <c r="Q34" s="152"/>
      <c r="R34" s="152"/>
      <c r="S34" s="152"/>
      <c r="T34" s="152"/>
      <c r="U34" s="152"/>
      <c r="V34" s="152"/>
    </row>
    <row r="35" spans="2:22" x14ac:dyDescent="0.25">
      <c r="B35" s="152"/>
      <c r="C35" s="152"/>
      <c r="D35" s="152"/>
      <c r="E35" s="152"/>
      <c r="F35" s="152"/>
      <c r="G35" s="152"/>
      <c r="H35" s="152"/>
      <c r="I35" s="152"/>
      <c r="J35" s="152"/>
      <c r="K35" s="152"/>
      <c r="L35" s="152"/>
      <c r="M35" s="152"/>
      <c r="N35" s="152"/>
      <c r="O35" s="152"/>
      <c r="P35" s="152"/>
      <c r="Q35" s="152"/>
      <c r="R35" s="152"/>
      <c r="S35" s="152"/>
      <c r="T35" s="152"/>
      <c r="U35" s="152"/>
      <c r="V35" s="152"/>
    </row>
    <row r="36" spans="2:22" x14ac:dyDescent="0.25">
      <c r="B36" s="152"/>
      <c r="C36" s="152"/>
      <c r="D36" s="152"/>
      <c r="E36" s="152"/>
      <c r="F36" s="152"/>
      <c r="G36" s="152"/>
      <c r="H36" s="152"/>
      <c r="I36" s="152"/>
      <c r="J36" s="152"/>
      <c r="K36" s="152"/>
      <c r="L36" s="152"/>
      <c r="M36" s="152"/>
      <c r="N36" s="152"/>
      <c r="O36" s="152"/>
      <c r="P36" s="152"/>
      <c r="Q36" s="152"/>
      <c r="R36" s="152"/>
      <c r="S36" s="152"/>
      <c r="T36" s="152"/>
      <c r="U36" s="152"/>
      <c r="V36" s="152"/>
    </row>
    <row r="37" spans="2:22" x14ac:dyDescent="0.25">
      <c r="B37" s="152"/>
      <c r="C37" s="152"/>
      <c r="D37" s="152"/>
      <c r="E37" s="152"/>
      <c r="F37" s="152"/>
      <c r="G37" s="152"/>
      <c r="H37" s="152"/>
      <c r="I37" s="152"/>
      <c r="J37" s="152"/>
      <c r="K37" s="152"/>
      <c r="L37" s="152"/>
      <c r="M37" s="152"/>
      <c r="N37" s="152"/>
      <c r="O37" s="152"/>
      <c r="P37" s="152"/>
      <c r="Q37" s="152"/>
      <c r="R37" s="152"/>
      <c r="S37" s="152"/>
      <c r="T37" s="152"/>
      <c r="U37" s="152"/>
      <c r="V37" s="152"/>
    </row>
    <row r="38" spans="2:22" x14ac:dyDescent="0.25">
      <c r="B38" s="152"/>
      <c r="C38" s="152"/>
      <c r="D38" s="152"/>
      <c r="E38" s="152"/>
      <c r="F38" s="152"/>
      <c r="G38" s="152"/>
      <c r="H38" s="152"/>
      <c r="I38" s="152"/>
      <c r="J38" s="152"/>
      <c r="K38" s="152"/>
      <c r="L38" s="152"/>
      <c r="M38" s="152"/>
      <c r="N38" s="152"/>
      <c r="O38" s="152"/>
      <c r="P38" s="152"/>
      <c r="Q38" s="152"/>
      <c r="R38" s="152"/>
      <c r="S38" s="152"/>
      <c r="T38" s="152"/>
      <c r="U38" s="152"/>
      <c r="V38" s="152"/>
    </row>
    <row r="39" spans="2:22" x14ac:dyDescent="0.25">
      <c r="B39" s="152"/>
      <c r="C39" s="152"/>
      <c r="D39" s="152"/>
      <c r="E39" s="152"/>
      <c r="F39" s="152"/>
      <c r="G39" s="152"/>
      <c r="H39" s="152"/>
      <c r="I39" s="152"/>
      <c r="J39" s="152"/>
      <c r="K39" s="152"/>
      <c r="L39" s="152"/>
      <c r="M39" s="152"/>
      <c r="N39" s="152"/>
      <c r="O39" s="152"/>
      <c r="P39" s="152"/>
      <c r="Q39" s="152"/>
      <c r="R39" s="152"/>
      <c r="S39" s="152"/>
      <c r="T39" s="152"/>
      <c r="U39" s="152"/>
      <c r="V39" s="152"/>
    </row>
    <row r="40" spans="2:22" x14ac:dyDescent="0.25">
      <c r="B40" s="152"/>
      <c r="C40" s="152"/>
      <c r="D40" s="152"/>
      <c r="E40" s="152"/>
      <c r="F40" s="152"/>
      <c r="G40" s="152"/>
      <c r="H40" s="152"/>
      <c r="I40" s="152"/>
      <c r="J40" s="152"/>
      <c r="K40" s="152"/>
      <c r="L40" s="152"/>
      <c r="M40" s="152"/>
      <c r="N40" s="152"/>
      <c r="O40" s="152"/>
      <c r="P40" s="152"/>
      <c r="Q40" s="152"/>
      <c r="R40" s="152"/>
      <c r="S40" s="152"/>
      <c r="T40" s="152"/>
      <c r="U40" s="152"/>
      <c r="V40" s="152"/>
    </row>
    <row r="41" spans="2:22" x14ac:dyDescent="0.25">
      <c r="B41" s="152"/>
      <c r="C41" s="152"/>
      <c r="D41" s="152"/>
      <c r="E41" s="152"/>
      <c r="F41" s="152"/>
      <c r="G41" s="152"/>
      <c r="H41" s="152"/>
      <c r="I41" s="152"/>
      <c r="J41" s="152"/>
      <c r="K41" s="152"/>
      <c r="L41" s="152"/>
      <c r="M41" s="152"/>
      <c r="N41" s="152"/>
      <c r="O41" s="152"/>
      <c r="P41" s="152"/>
      <c r="Q41" s="152"/>
      <c r="R41" s="152"/>
      <c r="S41" s="152"/>
      <c r="T41" s="152"/>
      <c r="U41" s="152"/>
      <c r="V41" s="152"/>
    </row>
    <row r="42" spans="2:22" x14ac:dyDescent="0.25">
      <c r="B42" s="152"/>
      <c r="C42" s="152"/>
      <c r="D42" s="152"/>
      <c r="E42" s="152"/>
      <c r="F42" s="152"/>
      <c r="G42" s="152"/>
      <c r="H42" s="152"/>
      <c r="I42" s="152"/>
      <c r="J42" s="152"/>
      <c r="K42" s="152"/>
      <c r="L42" s="152"/>
      <c r="M42" s="152"/>
      <c r="N42" s="152"/>
      <c r="O42" s="152"/>
      <c r="P42" s="152"/>
      <c r="Q42" s="152"/>
      <c r="R42" s="152"/>
      <c r="S42" s="152"/>
      <c r="T42" s="152"/>
      <c r="U42" s="152"/>
      <c r="V42" s="152"/>
    </row>
    <row r="43" spans="2:22" x14ac:dyDescent="0.25">
      <c r="B43" s="152"/>
      <c r="C43" s="152"/>
      <c r="D43" s="152"/>
      <c r="E43" s="152"/>
      <c r="F43" s="152"/>
      <c r="G43" s="152"/>
      <c r="H43" s="152"/>
      <c r="I43" s="152"/>
      <c r="J43" s="152"/>
      <c r="K43" s="152"/>
      <c r="L43" s="152"/>
      <c r="M43" s="152"/>
      <c r="N43" s="152"/>
      <c r="O43" s="152"/>
      <c r="P43" s="152"/>
      <c r="Q43" s="152"/>
      <c r="R43" s="152"/>
      <c r="S43" s="152"/>
      <c r="T43" s="152"/>
      <c r="U43" s="152"/>
      <c r="V43" s="152"/>
    </row>
    <row r="44" spans="2:22" x14ac:dyDescent="0.25">
      <c r="B44" s="152"/>
      <c r="C44" s="152"/>
      <c r="D44" s="152"/>
      <c r="E44" s="152"/>
      <c r="F44" s="152"/>
      <c r="G44" s="152"/>
      <c r="H44" s="152"/>
      <c r="I44" s="152"/>
      <c r="J44" s="152"/>
      <c r="K44" s="152"/>
      <c r="L44" s="152"/>
      <c r="M44" s="152"/>
      <c r="N44" s="152"/>
      <c r="O44" s="152"/>
      <c r="P44" s="152"/>
      <c r="Q44" s="152"/>
      <c r="R44" s="152"/>
      <c r="S44" s="152"/>
      <c r="T44" s="152"/>
      <c r="U44" s="152"/>
      <c r="V44" s="152"/>
    </row>
    <row r="45" spans="2:22" x14ac:dyDescent="0.25">
      <c r="B45" s="152"/>
      <c r="C45" s="152"/>
      <c r="D45" s="152"/>
      <c r="E45" s="152"/>
      <c r="F45" s="152"/>
      <c r="G45" s="152"/>
      <c r="H45" s="152"/>
      <c r="I45" s="152"/>
      <c r="J45" s="152"/>
      <c r="K45" s="152"/>
      <c r="L45" s="152"/>
      <c r="M45" s="152"/>
      <c r="N45" s="152"/>
      <c r="O45" s="152"/>
      <c r="P45" s="152"/>
      <c r="Q45" s="152"/>
      <c r="R45" s="152"/>
      <c r="S45" s="152"/>
      <c r="T45" s="152"/>
      <c r="U45" s="152"/>
      <c r="V45" s="152"/>
    </row>
    <row r="46" spans="2:22" x14ac:dyDescent="0.25">
      <c r="B46" s="152"/>
      <c r="C46" s="152"/>
      <c r="D46" s="152"/>
      <c r="E46" s="152"/>
      <c r="F46" s="152"/>
      <c r="G46" s="152"/>
      <c r="H46" s="152"/>
      <c r="I46" s="152"/>
      <c r="J46" s="152"/>
      <c r="K46" s="152"/>
      <c r="L46" s="152"/>
      <c r="M46" s="152"/>
      <c r="N46" s="152"/>
      <c r="O46" s="152"/>
      <c r="P46" s="152"/>
      <c r="Q46" s="152"/>
      <c r="R46" s="152"/>
      <c r="S46" s="152"/>
      <c r="T46" s="152"/>
      <c r="U46" s="152"/>
      <c r="V46" s="152"/>
    </row>
    <row r="47" spans="2:22" x14ac:dyDescent="0.25">
      <c r="B47" s="152"/>
      <c r="C47" s="152"/>
      <c r="D47" s="152"/>
      <c r="E47" s="152"/>
      <c r="F47" s="152"/>
      <c r="G47" s="152"/>
      <c r="H47" s="152"/>
      <c r="I47" s="152"/>
      <c r="J47" s="152"/>
      <c r="K47" s="152"/>
      <c r="L47" s="152"/>
      <c r="M47" s="152"/>
      <c r="N47" s="152"/>
      <c r="O47" s="152"/>
      <c r="P47" s="152"/>
      <c r="Q47" s="152"/>
      <c r="R47" s="152"/>
      <c r="S47" s="152"/>
      <c r="T47" s="152"/>
      <c r="U47" s="152"/>
      <c r="V47" s="152"/>
    </row>
    <row r="48" spans="2:22" x14ac:dyDescent="0.25">
      <c r="B48" s="152"/>
      <c r="C48" s="152"/>
      <c r="D48" s="152"/>
      <c r="E48" s="152"/>
      <c r="F48" s="152"/>
      <c r="G48" s="152"/>
      <c r="H48" s="152"/>
      <c r="I48" s="152"/>
      <c r="J48" s="152"/>
      <c r="K48" s="152"/>
      <c r="L48" s="152"/>
      <c r="M48" s="152"/>
      <c r="N48" s="152"/>
      <c r="O48" s="152"/>
      <c r="P48" s="152"/>
      <c r="Q48" s="152"/>
      <c r="R48" s="152"/>
      <c r="S48" s="152"/>
      <c r="T48" s="152"/>
      <c r="U48" s="152"/>
      <c r="V48" s="152"/>
    </row>
    <row r="49" spans="2:22" x14ac:dyDescent="0.25">
      <c r="B49" s="152"/>
      <c r="C49" s="152"/>
      <c r="D49" s="152"/>
      <c r="E49" s="152"/>
      <c r="F49" s="152"/>
      <c r="G49" s="152"/>
      <c r="H49" s="152"/>
      <c r="I49" s="152"/>
      <c r="J49" s="152"/>
      <c r="K49" s="152"/>
      <c r="L49" s="152"/>
      <c r="M49" s="152"/>
      <c r="N49" s="152"/>
      <c r="O49" s="152"/>
      <c r="P49" s="152"/>
      <c r="Q49" s="152"/>
      <c r="R49" s="152"/>
      <c r="S49" s="152"/>
      <c r="T49" s="152"/>
      <c r="U49" s="152"/>
      <c r="V49" s="152"/>
    </row>
  </sheetData>
  <mergeCells count="2">
    <mergeCell ref="I26:I30"/>
    <mergeCell ref="K26:K29"/>
  </mergeCells>
  <conditionalFormatting sqref="A1:U1 A3:U25">
    <cfRule type="containsText" dxfId="0" priority="1" operator="containsText" text="NO CLARITY">
      <formula>NOT(ISERROR(SEARCH("NO CLARITY",A1)))</formula>
    </cfRule>
  </conditionalFormatting>
  <dataValidations count="1">
    <dataValidation type="list" allowBlank="1" showInputMessage="1" showErrorMessage="1" sqref="B2:J2 L2:P2 R2:U2">
      <formula1>"DONE, NOT DONE, DRAFT"</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L130"/>
  <sheetViews>
    <sheetView view="pageBreakPreview" zoomScale="98" zoomScaleNormal="87" workbookViewId="0">
      <pane xSplit="6" ySplit="1" topLeftCell="L5" activePane="bottomRight" state="frozen"/>
      <selection pane="topRight" activeCell="G1" sqref="G1"/>
      <selection pane="bottomLeft" activeCell="A2" sqref="A2"/>
      <selection pane="bottomRight" activeCell="F125" sqref="F125"/>
    </sheetView>
  </sheetViews>
  <sheetFormatPr defaultRowHeight="21.6" customHeight="1" x14ac:dyDescent="0.25"/>
  <cols>
    <col min="1" max="1" width="7.7109375" style="44" customWidth="1"/>
    <col min="2" max="2" width="11.42578125" style="37" customWidth="1"/>
    <col min="3" max="3" width="22.140625" style="37" customWidth="1"/>
    <col min="4" max="4" width="40.5703125" customWidth="1"/>
    <col min="5" max="5" width="11.42578125" customWidth="1"/>
    <col min="6" max="6" width="35.28515625" style="37" customWidth="1"/>
    <col min="7" max="7" width="10.140625" customWidth="1"/>
    <col min="8" max="8" width="19.42578125" customWidth="1"/>
    <col min="9" max="9" width="18.42578125" customWidth="1"/>
    <col min="10" max="10" width="21.140625" customWidth="1"/>
    <col min="11" max="11" width="24.140625" customWidth="1"/>
    <col min="12" max="12" width="39.42578125" style="114" customWidth="1"/>
  </cols>
  <sheetData>
    <row r="1" spans="1:12" s="64" customFormat="1" ht="30" x14ac:dyDescent="0.25">
      <c r="A1" s="62" t="s">
        <v>231</v>
      </c>
      <c r="B1" s="62" t="s">
        <v>232</v>
      </c>
      <c r="C1" s="62" t="s">
        <v>0</v>
      </c>
      <c r="D1" s="62" t="s">
        <v>233</v>
      </c>
      <c r="E1" s="62" t="s">
        <v>234</v>
      </c>
      <c r="F1" s="63" t="s">
        <v>235</v>
      </c>
      <c r="G1" s="64" t="s">
        <v>236</v>
      </c>
      <c r="H1" s="65" t="s">
        <v>237</v>
      </c>
      <c r="I1" s="65" t="s">
        <v>238</v>
      </c>
      <c r="J1" s="65" t="s">
        <v>239</v>
      </c>
      <c r="K1" s="65" t="s">
        <v>240</v>
      </c>
      <c r="L1" s="65" t="s">
        <v>241</v>
      </c>
    </row>
    <row r="2" spans="1:12" ht="15" hidden="1" x14ac:dyDescent="0.25">
      <c r="A2" s="66" t="s">
        <v>242</v>
      </c>
      <c r="B2" s="66" t="s">
        <v>242</v>
      </c>
      <c r="C2" s="67" t="s">
        <v>243</v>
      </c>
      <c r="D2" s="68" t="s">
        <v>244</v>
      </c>
      <c r="E2" s="69">
        <v>1</v>
      </c>
      <c r="F2" s="70"/>
      <c r="G2">
        <v>1</v>
      </c>
      <c r="H2" s="71">
        <v>14</v>
      </c>
      <c r="I2" s="71">
        <v>3</v>
      </c>
      <c r="J2" s="71">
        <f t="shared" ref="J2:J65" si="0">H2+I2</f>
        <v>17</v>
      </c>
      <c r="K2" s="71"/>
      <c r="L2" s="72" t="s">
        <v>245</v>
      </c>
    </row>
    <row r="3" spans="1:12" ht="15" hidden="1" x14ac:dyDescent="0.25">
      <c r="A3" s="66">
        <v>4</v>
      </c>
      <c r="B3" s="70" t="s">
        <v>246</v>
      </c>
      <c r="C3" s="67" t="s">
        <v>247</v>
      </c>
      <c r="D3" s="68" t="s">
        <v>248</v>
      </c>
      <c r="E3" s="69">
        <v>1</v>
      </c>
      <c r="F3" s="70"/>
      <c r="G3">
        <v>2</v>
      </c>
      <c r="H3" s="71">
        <v>14</v>
      </c>
      <c r="I3" s="71">
        <v>3</v>
      </c>
      <c r="J3" s="71">
        <f t="shared" si="0"/>
        <v>17</v>
      </c>
      <c r="K3" s="71" t="s">
        <v>13</v>
      </c>
      <c r="L3" s="72" t="s">
        <v>245</v>
      </c>
    </row>
    <row r="4" spans="1:12" ht="15" hidden="1" x14ac:dyDescent="0.25">
      <c r="A4" s="66" t="s">
        <v>242</v>
      </c>
      <c r="B4" s="73">
        <v>34</v>
      </c>
      <c r="C4" s="74" t="s">
        <v>249</v>
      </c>
      <c r="D4" s="68" t="s">
        <v>250</v>
      </c>
      <c r="E4" s="75">
        <v>1</v>
      </c>
      <c r="F4" s="76" t="s">
        <v>251</v>
      </c>
      <c r="G4">
        <v>3</v>
      </c>
      <c r="H4" s="71">
        <v>12</v>
      </c>
      <c r="I4" s="71">
        <v>1</v>
      </c>
      <c r="J4" s="71">
        <f t="shared" si="0"/>
        <v>13</v>
      </c>
      <c r="K4" s="71" t="s">
        <v>252</v>
      </c>
      <c r="L4" s="77" t="s">
        <v>253</v>
      </c>
    </row>
    <row r="5" spans="1:12" ht="15" x14ac:dyDescent="0.25">
      <c r="A5" s="78">
        <v>1</v>
      </c>
      <c r="B5" s="79">
        <v>7</v>
      </c>
      <c r="C5" s="80" t="s">
        <v>254</v>
      </c>
      <c r="D5" s="81" t="s">
        <v>255</v>
      </c>
      <c r="E5" s="82">
        <v>2</v>
      </c>
      <c r="F5" s="80" t="s">
        <v>256</v>
      </c>
      <c r="G5">
        <v>4</v>
      </c>
      <c r="H5" s="71">
        <v>8</v>
      </c>
      <c r="I5" s="71">
        <v>3</v>
      </c>
      <c r="J5" s="71">
        <f t="shared" si="0"/>
        <v>11</v>
      </c>
      <c r="K5" t="s">
        <v>13</v>
      </c>
      <c r="L5" s="83" t="s">
        <v>253</v>
      </c>
    </row>
    <row r="6" spans="1:12" ht="15" hidden="1" x14ac:dyDescent="0.25">
      <c r="A6" s="66">
        <v>2</v>
      </c>
      <c r="B6" s="73">
        <v>13</v>
      </c>
      <c r="C6" s="70" t="s">
        <v>257</v>
      </c>
      <c r="D6" s="81" t="s">
        <v>258</v>
      </c>
      <c r="E6" s="82">
        <v>1</v>
      </c>
      <c r="F6" s="80" t="s">
        <v>259</v>
      </c>
      <c r="G6">
        <v>5</v>
      </c>
      <c r="H6" s="71">
        <v>8</v>
      </c>
      <c r="I6" s="71">
        <v>3</v>
      </c>
      <c r="J6" s="71">
        <f t="shared" si="0"/>
        <v>11</v>
      </c>
      <c r="K6" s="71" t="s">
        <v>260</v>
      </c>
      <c r="L6" s="77" t="s">
        <v>253</v>
      </c>
    </row>
    <row r="7" spans="1:12" ht="15" hidden="1" x14ac:dyDescent="0.25">
      <c r="A7" s="66" t="s">
        <v>242</v>
      </c>
      <c r="B7" s="73">
        <v>21</v>
      </c>
      <c r="C7" s="84" t="s">
        <v>249</v>
      </c>
      <c r="D7" s="81" t="s">
        <v>261</v>
      </c>
      <c r="E7" s="69">
        <v>1</v>
      </c>
      <c r="F7" s="70" t="s">
        <v>262</v>
      </c>
      <c r="G7">
        <v>6</v>
      </c>
      <c r="H7" s="71">
        <v>10</v>
      </c>
      <c r="I7" s="71">
        <v>1</v>
      </c>
      <c r="J7" s="71">
        <f t="shared" si="0"/>
        <v>11</v>
      </c>
      <c r="K7" s="85" t="s">
        <v>263</v>
      </c>
      <c r="L7" s="77" t="s">
        <v>253</v>
      </c>
    </row>
    <row r="8" spans="1:12" ht="21.6" customHeight="1" x14ac:dyDescent="0.25">
      <c r="A8" s="66">
        <v>4</v>
      </c>
      <c r="B8" s="70">
        <v>37</v>
      </c>
      <c r="C8" s="84" t="s">
        <v>264</v>
      </c>
      <c r="D8" s="68" t="s">
        <v>265</v>
      </c>
      <c r="E8" s="69">
        <v>1</v>
      </c>
      <c r="F8" s="76" t="s">
        <v>256</v>
      </c>
      <c r="G8">
        <v>7</v>
      </c>
      <c r="H8" s="71">
        <v>8</v>
      </c>
      <c r="I8" s="71">
        <v>3</v>
      </c>
      <c r="J8" s="71">
        <f t="shared" si="0"/>
        <v>11</v>
      </c>
      <c r="K8" s="71" t="s">
        <v>266</v>
      </c>
      <c r="L8" s="83" t="s">
        <v>253</v>
      </c>
    </row>
    <row r="9" spans="1:12" ht="21.6" hidden="1" customHeight="1" x14ac:dyDescent="0.25">
      <c r="A9" s="86">
        <v>1</v>
      </c>
      <c r="B9" s="87">
        <v>1</v>
      </c>
      <c r="C9" s="70" t="s">
        <v>254</v>
      </c>
      <c r="D9" s="81" t="s">
        <v>267</v>
      </c>
      <c r="E9" s="69">
        <v>2</v>
      </c>
      <c r="F9" s="70" t="s">
        <v>256</v>
      </c>
      <c r="G9">
        <v>8</v>
      </c>
      <c r="H9" s="71">
        <v>6</v>
      </c>
      <c r="I9" s="71">
        <v>3</v>
      </c>
      <c r="J9" s="71">
        <f t="shared" si="0"/>
        <v>9</v>
      </c>
      <c r="K9" s="71" t="s">
        <v>266</v>
      </c>
      <c r="L9" s="77" t="s">
        <v>253</v>
      </c>
    </row>
    <row r="10" spans="1:12" ht="21.6" hidden="1" customHeight="1" x14ac:dyDescent="0.25">
      <c r="A10" s="86">
        <v>1</v>
      </c>
      <c r="B10" s="87">
        <v>3</v>
      </c>
      <c r="C10" s="84" t="s">
        <v>268</v>
      </c>
      <c r="D10" s="81" t="s">
        <v>269</v>
      </c>
      <c r="E10" s="69">
        <v>2</v>
      </c>
      <c r="F10" s="88" t="s">
        <v>256</v>
      </c>
      <c r="G10">
        <v>9</v>
      </c>
      <c r="H10" s="71">
        <v>6</v>
      </c>
      <c r="I10" s="71">
        <v>3</v>
      </c>
      <c r="J10" s="71">
        <f t="shared" si="0"/>
        <v>9</v>
      </c>
      <c r="K10" s="71" t="s">
        <v>266</v>
      </c>
      <c r="L10" s="77" t="s">
        <v>253</v>
      </c>
    </row>
    <row r="11" spans="1:12" ht="21.6" customHeight="1" x14ac:dyDescent="0.25">
      <c r="A11" s="86">
        <v>1</v>
      </c>
      <c r="B11" s="87">
        <v>9</v>
      </c>
      <c r="C11" s="84" t="s">
        <v>133</v>
      </c>
      <c r="D11" s="81" t="s">
        <v>270</v>
      </c>
      <c r="E11" s="69">
        <v>2</v>
      </c>
      <c r="F11" s="70" t="s">
        <v>256</v>
      </c>
      <c r="G11">
        <v>10</v>
      </c>
      <c r="H11" s="71">
        <v>6</v>
      </c>
      <c r="I11" s="71">
        <v>3</v>
      </c>
      <c r="J11" s="71">
        <f t="shared" si="0"/>
        <v>9</v>
      </c>
      <c r="K11" s="71" t="s">
        <v>266</v>
      </c>
      <c r="L11" s="83" t="s">
        <v>253</v>
      </c>
    </row>
    <row r="12" spans="1:12" ht="21.6" customHeight="1" x14ac:dyDescent="0.25">
      <c r="A12" s="66">
        <v>2</v>
      </c>
      <c r="B12" s="73">
        <v>11</v>
      </c>
      <c r="C12" s="76" t="s">
        <v>271</v>
      </c>
      <c r="D12" s="89" t="s">
        <v>272</v>
      </c>
      <c r="E12" s="90">
        <v>30</v>
      </c>
      <c r="F12" s="70" t="str">
        <f>VLOOKUP(D12,[2]Kewei!$C$4:$E$36,3,0)</f>
        <v>Kewei, China</v>
      </c>
      <c r="G12">
        <v>11</v>
      </c>
      <c r="H12" s="71">
        <v>6</v>
      </c>
      <c r="I12" s="71">
        <v>3</v>
      </c>
      <c r="J12" s="71">
        <f t="shared" si="0"/>
        <v>9</v>
      </c>
      <c r="K12" s="71" t="s">
        <v>266</v>
      </c>
      <c r="L12" s="83" t="s">
        <v>253</v>
      </c>
    </row>
    <row r="13" spans="1:12" ht="30" hidden="1" x14ac:dyDescent="0.25">
      <c r="A13" s="66">
        <v>2</v>
      </c>
      <c r="B13" s="73">
        <v>16</v>
      </c>
      <c r="C13" s="84" t="s">
        <v>273</v>
      </c>
      <c r="D13" s="81" t="s">
        <v>274</v>
      </c>
      <c r="E13" s="69">
        <v>1</v>
      </c>
      <c r="F13" s="70" t="s">
        <v>65</v>
      </c>
      <c r="G13">
        <v>12</v>
      </c>
      <c r="H13" s="71">
        <v>6</v>
      </c>
      <c r="I13" s="71">
        <v>3</v>
      </c>
      <c r="J13" s="71">
        <f t="shared" si="0"/>
        <v>9</v>
      </c>
      <c r="K13" s="91" t="s">
        <v>275</v>
      </c>
      <c r="L13" s="92" t="s">
        <v>276</v>
      </c>
    </row>
    <row r="14" spans="1:12" ht="30" hidden="1" x14ac:dyDescent="0.25">
      <c r="A14" s="66">
        <v>2</v>
      </c>
      <c r="B14" s="73">
        <v>16</v>
      </c>
      <c r="C14" s="80" t="s">
        <v>277</v>
      </c>
      <c r="D14" s="81" t="s">
        <v>278</v>
      </c>
      <c r="E14" s="82">
        <v>1</v>
      </c>
      <c r="F14" s="70" t="s">
        <v>65</v>
      </c>
      <c r="G14">
        <v>13</v>
      </c>
      <c r="H14" s="71">
        <v>6</v>
      </c>
      <c r="I14" s="71">
        <v>3</v>
      </c>
      <c r="J14" s="71">
        <f t="shared" si="0"/>
        <v>9</v>
      </c>
      <c r="K14" s="91" t="s">
        <v>275</v>
      </c>
      <c r="L14" s="92" t="s">
        <v>276</v>
      </c>
    </row>
    <row r="15" spans="1:12" ht="56.45" hidden="1" customHeight="1" x14ac:dyDescent="0.25">
      <c r="A15" s="66">
        <v>2</v>
      </c>
      <c r="B15" s="73">
        <v>17</v>
      </c>
      <c r="C15" s="84" t="s">
        <v>268</v>
      </c>
      <c r="D15" s="81" t="s">
        <v>279</v>
      </c>
      <c r="E15" s="69">
        <v>2</v>
      </c>
      <c r="F15" s="70" t="s">
        <v>65</v>
      </c>
      <c r="G15">
        <v>14</v>
      </c>
      <c r="H15" s="71">
        <v>6</v>
      </c>
      <c r="I15" s="71">
        <v>3</v>
      </c>
      <c r="J15" s="71">
        <f t="shared" si="0"/>
        <v>9</v>
      </c>
      <c r="K15" s="91" t="s">
        <v>275</v>
      </c>
      <c r="L15" s="77" t="s">
        <v>253</v>
      </c>
    </row>
    <row r="16" spans="1:12" ht="15" hidden="1" x14ac:dyDescent="0.25">
      <c r="A16" s="66">
        <v>2</v>
      </c>
      <c r="B16" s="73">
        <v>17</v>
      </c>
      <c r="C16" s="84" t="s">
        <v>268</v>
      </c>
      <c r="D16" s="81" t="s">
        <v>280</v>
      </c>
      <c r="E16" s="69">
        <v>2</v>
      </c>
      <c r="F16" s="70" t="s">
        <v>65</v>
      </c>
      <c r="G16">
        <v>15</v>
      </c>
      <c r="H16" s="71">
        <v>6</v>
      </c>
      <c r="I16" s="71">
        <v>3</v>
      </c>
      <c r="J16" s="71">
        <f t="shared" si="0"/>
        <v>9</v>
      </c>
      <c r="K16" s="91" t="s">
        <v>275</v>
      </c>
      <c r="L16" s="77" t="s">
        <v>253</v>
      </c>
    </row>
    <row r="17" spans="1:12" ht="30" hidden="1" x14ac:dyDescent="0.25">
      <c r="A17" s="66">
        <v>3</v>
      </c>
      <c r="B17" s="73">
        <v>18</v>
      </c>
      <c r="C17" s="74" t="s">
        <v>249</v>
      </c>
      <c r="D17" s="68" t="s">
        <v>281</v>
      </c>
      <c r="E17" s="75">
        <v>1</v>
      </c>
      <c r="F17" s="93" t="s">
        <v>282</v>
      </c>
      <c r="G17">
        <v>16</v>
      </c>
      <c r="H17" s="71">
        <v>8</v>
      </c>
      <c r="I17" s="71">
        <v>1</v>
      </c>
      <c r="J17" s="71">
        <f t="shared" si="0"/>
        <v>9</v>
      </c>
      <c r="K17" s="71"/>
      <c r="L17" s="77" t="s">
        <v>253</v>
      </c>
    </row>
    <row r="18" spans="1:12" ht="30" hidden="1" x14ac:dyDescent="0.25">
      <c r="A18" s="66">
        <v>3</v>
      </c>
      <c r="B18" s="73">
        <v>18</v>
      </c>
      <c r="C18" s="74" t="s">
        <v>249</v>
      </c>
      <c r="D18" s="68" t="s">
        <v>283</v>
      </c>
      <c r="E18" s="75">
        <v>1</v>
      </c>
      <c r="F18" s="93" t="s">
        <v>282</v>
      </c>
      <c r="G18">
        <v>17</v>
      </c>
      <c r="H18" s="71">
        <v>8</v>
      </c>
      <c r="I18" s="71">
        <v>1</v>
      </c>
      <c r="J18" s="71">
        <f t="shared" si="0"/>
        <v>9</v>
      </c>
      <c r="K18" s="71"/>
      <c r="L18" s="77" t="s">
        <v>253</v>
      </c>
    </row>
    <row r="19" spans="1:12" ht="15" hidden="1" x14ac:dyDescent="0.25">
      <c r="A19" s="86">
        <v>1</v>
      </c>
      <c r="B19" s="94">
        <v>10</v>
      </c>
      <c r="C19" s="84" t="s">
        <v>117</v>
      </c>
      <c r="D19" s="95" t="s">
        <v>284</v>
      </c>
      <c r="E19" s="69">
        <v>1</v>
      </c>
      <c r="F19" s="96"/>
      <c r="G19">
        <v>18</v>
      </c>
      <c r="H19" s="71">
        <v>8</v>
      </c>
      <c r="I19" s="71">
        <v>0</v>
      </c>
      <c r="J19" s="71">
        <f t="shared" si="0"/>
        <v>8</v>
      </c>
      <c r="K19" s="71"/>
      <c r="L19" s="72" t="s">
        <v>245</v>
      </c>
    </row>
    <row r="20" spans="1:12" ht="44.45" hidden="1" customHeight="1" x14ac:dyDescent="0.25">
      <c r="A20" s="66">
        <v>2</v>
      </c>
      <c r="B20" s="73">
        <v>26</v>
      </c>
      <c r="C20" s="84" t="s">
        <v>249</v>
      </c>
      <c r="D20" s="81" t="s">
        <v>285</v>
      </c>
      <c r="E20" s="69">
        <v>1</v>
      </c>
      <c r="F20" s="88" t="s">
        <v>286</v>
      </c>
      <c r="G20">
        <v>19</v>
      </c>
      <c r="H20" s="71">
        <v>8</v>
      </c>
      <c r="I20" s="71">
        <v>0</v>
      </c>
      <c r="J20" s="71">
        <f t="shared" si="0"/>
        <v>8</v>
      </c>
      <c r="K20" s="71" t="s">
        <v>287</v>
      </c>
      <c r="L20" s="77" t="s">
        <v>253</v>
      </c>
    </row>
    <row r="21" spans="1:12" ht="15" hidden="1" x14ac:dyDescent="0.25">
      <c r="A21" s="66">
        <v>4</v>
      </c>
      <c r="B21" s="70" t="s">
        <v>246</v>
      </c>
      <c r="C21" s="80" t="s">
        <v>277</v>
      </c>
      <c r="D21" s="95" t="s">
        <v>288</v>
      </c>
      <c r="E21" s="82">
        <v>1</v>
      </c>
      <c r="F21" s="76"/>
      <c r="G21">
        <v>20</v>
      </c>
      <c r="H21" s="71">
        <v>4</v>
      </c>
      <c r="I21" s="71">
        <v>4</v>
      </c>
      <c r="J21" s="71">
        <f t="shared" si="0"/>
        <v>8</v>
      </c>
      <c r="K21" s="71"/>
      <c r="L21" s="72" t="s">
        <v>245</v>
      </c>
    </row>
    <row r="22" spans="1:12" ht="21.6" hidden="1" customHeight="1" x14ac:dyDescent="0.25">
      <c r="A22" s="86">
        <v>1</v>
      </c>
      <c r="B22" s="87">
        <v>1</v>
      </c>
      <c r="C22" s="84" t="s">
        <v>117</v>
      </c>
      <c r="D22" s="81" t="s">
        <v>289</v>
      </c>
      <c r="E22" s="69">
        <v>1</v>
      </c>
      <c r="F22" s="70" t="str">
        <f>VLOOKUP(D22,[2]Kewei!$C$4:$E$36,3,0)</f>
        <v>Kewei, China</v>
      </c>
      <c r="G22">
        <v>21</v>
      </c>
      <c r="H22" s="71">
        <v>4</v>
      </c>
      <c r="I22" s="71">
        <v>3</v>
      </c>
      <c r="J22" s="71">
        <f t="shared" si="0"/>
        <v>7</v>
      </c>
      <c r="K22" s="71" t="s">
        <v>266</v>
      </c>
      <c r="L22" s="77" t="s">
        <v>253</v>
      </c>
    </row>
    <row r="23" spans="1:12" ht="21.6" hidden="1" customHeight="1" x14ac:dyDescent="0.25">
      <c r="A23" s="86">
        <v>1</v>
      </c>
      <c r="B23" s="87">
        <v>1</v>
      </c>
      <c r="C23" s="84" t="s">
        <v>117</v>
      </c>
      <c r="D23" s="81" t="s">
        <v>290</v>
      </c>
      <c r="E23" s="69">
        <v>1</v>
      </c>
      <c r="F23" s="70" t="str">
        <f>VLOOKUP(D23,[2]Kewei!$C$4:$E$36,3,0)</f>
        <v>Kewei, China</v>
      </c>
      <c r="G23">
        <v>22</v>
      </c>
      <c r="H23" s="71">
        <v>4</v>
      </c>
      <c r="I23" s="71">
        <v>3</v>
      </c>
      <c r="J23" s="71">
        <f t="shared" si="0"/>
        <v>7</v>
      </c>
      <c r="K23" s="71" t="s">
        <v>266</v>
      </c>
      <c r="L23" s="77" t="s">
        <v>253</v>
      </c>
    </row>
    <row r="24" spans="1:12" ht="21.6" hidden="1" customHeight="1" x14ac:dyDescent="0.25">
      <c r="A24" s="86">
        <v>1</v>
      </c>
      <c r="B24" s="87">
        <v>1</v>
      </c>
      <c r="C24" s="84" t="s">
        <v>291</v>
      </c>
      <c r="D24" s="81" t="s">
        <v>292</v>
      </c>
      <c r="E24" s="69">
        <v>2</v>
      </c>
      <c r="F24" s="70" t="str">
        <f>VLOOKUP(D24,[2]Kewei!$C$4:$E$36,3,0)</f>
        <v>Kewei, China</v>
      </c>
      <c r="G24">
        <v>23</v>
      </c>
      <c r="H24" s="71">
        <v>4</v>
      </c>
      <c r="I24" s="71">
        <v>3</v>
      </c>
      <c r="J24" s="71">
        <f t="shared" si="0"/>
        <v>7</v>
      </c>
      <c r="K24" s="71" t="s">
        <v>266</v>
      </c>
      <c r="L24" s="77" t="s">
        <v>253</v>
      </c>
    </row>
    <row r="25" spans="1:12" ht="21.6" hidden="1" customHeight="1" x14ac:dyDescent="0.25">
      <c r="A25" s="86">
        <v>1</v>
      </c>
      <c r="B25" s="87">
        <v>1</v>
      </c>
      <c r="C25" s="84" t="s">
        <v>291</v>
      </c>
      <c r="D25" s="81" t="s">
        <v>293</v>
      </c>
      <c r="E25" s="69">
        <v>2</v>
      </c>
      <c r="F25" s="70" t="str">
        <f>VLOOKUP(D25,[2]Kewei!$C$4:$E$36,3,0)</f>
        <v>Kewei, China</v>
      </c>
      <c r="G25">
        <v>24</v>
      </c>
      <c r="H25" s="71">
        <v>4</v>
      </c>
      <c r="I25" s="71">
        <v>3</v>
      </c>
      <c r="J25" s="71">
        <f t="shared" si="0"/>
        <v>7</v>
      </c>
      <c r="K25" s="71" t="s">
        <v>266</v>
      </c>
      <c r="L25" s="77" t="s">
        <v>253</v>
      </c>
    </row>
    <row r="26" spans="1:12" ht="21.6" hidden="1" customHeight="1" x14ac:dyDescent="0.25">
      <c r="A26" s="86">
        <v>1</v>
      </c>
      <c r="B26" s="87">
        <v>1</v>
      </c>
      <c r="C26" s="84" t="s">
        <v>291</v>
      </c>
      <c r="D26" s="81" t="s">
        <v>294</v>
      </c>
      <c r="E26" s="69">
        <v>1</v>
      </c>
      <c r="F26" s="70" t="str">
        <f>VLOOKUP(D26,[2]Kewei!$C$4:$E$36,3,0)</f>
        <v>Kewei, China</v>
      </c>
      <c r="G26">
        <v>25</v>
      </c>
      <c r="H26" s="71">
        <v>4</v>
      </c>
      <c r="I26" s="71">
        <v>3</v>
      </c>
      <c r="J26" s="71">
        <f t="shared" si="0"/>
        <v>7</v>
      </c>
      <c r="K26" s="71" t="s">
        <v>266</v>
      </c>
      <c r="L26" s="77" t="s">
        <v>253</v>
      </c>
    </row>
    <row r="27" spans="1:12" ht="21.6" hidden="1" customHeight="1" x14ac:dyDescent="0.25">
      <c r="A27" s="86">
        <v>1</v>
      </c>
      <c r="B27" s="87">
        <v>1</v>
      </c>
      <c r="C27" s="84" t="s">
        <v>268</v>
      </c>
      <c r="D27" s="81" t="s">
        <v>295</v>
      </c>
      <c r="E27" s="69">
        <v>2</v>
      </c>
      <c r="F27" s="70" t="str">
        <f>VLOOKUP(D27,[2]Kewei!$C$4:$E$36,3,0)</f>
        <v>Kewei, China</v>
      </c>
      <c r="G27">
        <v>26</v>
      </c>
      <c r="H27" s="71">
        <v>4</v>
      </c>
      <c r="I27" s="71">
        <v>3</v>
      </c>
      <c r="J27" s="71">
        <f t="shared" si="0"/>
        <v>7</v>
      </c>
      <c r="K27" s="71" t="s">
        <v>266</v>
      </c>
      <c r="L27" s="77" t="s">
        <v>253</v>
      </c>
    </row>
    <row r="28" spans="1:12" ht="21.6" hidden="1" customHeight="1" x14ac:dyDescent="0.25">
      <c r="A28" s="86">
        <v>1</v>
      </c>
      <c r="B28" s="87">
        <v>1</v>
      </c>
      <c r="C28" s="70" t="s">
        <v>296</v>
      </c>
      <c r="D28" s="81" t="s">
        <v>297</v>
      </c>
      <c r="E28" s="69">
        <v>1</v>
      </c>
      <c r="F28" s="70" t="str">
        <f>VLOOKUP(D28,[2]Kewei!$C$4:$E$36,3,0)</f>
        <v>Kewei, China</v>
      </c>
      <c r="G28">
        <v>27</v>
      </c>
      <c r="H28" s="71">
        <v>4</v>
      </c>
      <c r="I28" s="71">
        <v>3</v>
      </c>
      <c r="J28" s="71">
        <f t="shared" si="0"/>
        <v>7</v>
      </c>
      <c r="K28" s="71" t="s">
        <v>266</v>
      </c>
      <c r="L28" s="77" t="s">
        <v>253</v>
      </c>
    </row>
    <row r="29" spans="1:12" ht="21.6" hidden="1" customHeight="1" x14ac:dyDescent="0.25">
      <c r="A29" s="86">
        <v>1</v>
      </c>
      <c r="B29" s="87">
        <v>1</v>
      </c>
      <c r="C29" s="70" t="s">
        <v>296</v>
      </c>
      <c r="D29" s="81" t="s">
        <v>298</v>
      </c>
      <c r="E29" s="69">
        <v>1</v>
      </c>
      <c r="F29" s="70" t="str">
        <f>VLOOKUP(D29,[2]Kewei!$C$4:$E$36,3,0)</f>
        <v>Kewei, China</v>
      </c>
      <c r="G29">
        <v>28</v>
      </c>
      <c r="H29" s="71">
        <v>4</v>
      </c>
      <c r="I29" s="71">
        <v>3</v>
      </c>
      <c r="J29" s="71">
        <f t="shared" si="0"/>
        <v>7</v>
      </c>
      <c r="K29" s="71" t="s">
        <v>266</v>
      </c>
      <c r="L29" s="77" t="s">
        <v>253</v>
      </c>
    </row>
    <row r="30" spans="1:12" ht="21.6" hidden="1" customHeight="1" x14ac:dyDescent="0.25">
      <c r="A30" s="86">
        <v>1</v>
      </c>
      <c r="B30" s="87">
        <v>1</v>
      </c>
      <c r="C30" s="70" t="s">
        <v>296</v>
      </c>
      <c r="D30" s="81" t="s">
        <v>299</v>
      </c>
      <c r="E30" s="69">
        <v>1</v>
      </c>
      <c r="F30" s="70" t="str">
        <f>VLOOKUP(D30,[2]Kewei!$C$4:$E$36,3,0)</f>
        <v>Kewei, China</v>
      </c>
      <c r="G30">
        <v>29</v>
      </c>
      <c r="H30" s="71">
        <v>4</v>
      </c>
      <c r="I30" s="71">
        <v>3</v>
      </c>
      <c r="J30" s="71">
        <f t="shared" si="0"/>
        <v>7</v>
      </c>
      <c r="K30" s="71" t="s">
        <v>266</v>
      </c>
      <c r="L30" s="77" t="s">
        <v>253</v>
      </c>
    </row>
    <row r="31" spans="1:12" ht="21.6" hidden="1" customHeight="1" x14ac:dyDescent="0.25">
      <c r="A31" s="86">
        <v>1</v>
      </c>
      <c r="B31" s="87">
        <v>1</v>
      </c>
      <c r="C31" s="70" t="s">
        <v>296</v>
      </c>
      <c r="D31" s="81" t="s">
        <v>300</v>
      </c>
      <c r="E31" s="82">
        <v>1</v>
      </c>
      <c r="F31" s="70" t="str">
        <f>VLOOKUP(D31,[2]Kewei!$C$4:$E$36,3,0)</f>
        <v>Kewei, China</v>
      </c>
      <c r="G31">
        <v>30</v>
      </c>
      <c r="H31" s="71">
        <v>4</v>
      </c>
      <c r="I31" s="71">
        <v>3</v>
      </c>
      <c r="J31" s="71">
        <f t="shared" si="0"/>
        <v>7</v>
      </c>
      <c r="K31" s="71" t="s">
        <v>266</v>
      </c>
      <c r="L31" s="77" t="s">
        <v>253</v>
      </c>
    </row>
    <row r="32" spans="1:12" ht="21.6" hidden="1" customHeight="1" x14ac:dyDescent="0.25">
      <c r="A32" s="86">
        <v>1</v>
      </c>
      <c r="B32" s="87">
        <v>1</v>
      </c>
      <c r="C32" s="70" t="s">
        <v>296</v>
      </c>
      <c r="D32" s="81" t="s">
        <v>301</v>
      </c>
      <c r="E32" s="69">
        <v>1</v>
      </c>
      <c r="F32" s="70" t="str">
        <f>VLOOKUP(D32,[2]Kewei!$C$4:$E$36,3,0)</f>
        <v>Kewei, China</v>
      </c>
      <c r="G32">
        <v>31</v>
      </c>
      <c r="H32" s="71">
        <v>4</v>
      </c>
      <c r="I32" s="71">
        <v>3</v>
      </c>
      <c r="J32" s="71">
        <f t="shared" si="0"/>
        <v>7</v>
      </c>
      <c r="K32" s="71" t="s">
        <v>266</v>
      </c>
      <c r="L32" s="77" t="s">
        <v>253</v>
      </c>
    </row>
    <row r="33" spans="1:12" ht="21.6" hidden="1" customHeight="1" x14ac:dyDescent="0.25">
      <c r="A33" s="86">
        <v>1</v>
      </c>
      <c r="B33" s="87">
        <v>1</v>
      </c>
      <c r="C33" s="70" t="s">
        <v>296</v>
      </c>
      <c r="D33" s="81" t="s">
        <v>302</v>
      </c>
      <c r="E33" s="69">
        <v>1</v>
      </c>
      <c r="F33" s="70" t="str">
        <f>VLOOKUP(D33,[2]Kewei!$C$4:$E$36,3,0)</f>
        <v>Kewei, China</v>
      </c>
      <c r="G33">
        <v>32</v>
      </c>
      <c r="H33" s="71">
        <v>4</v>
      </c>
      <c r="I33" s="71">
        <v>3</v>
      </c>
      <c r="J33" s="71">
        <f t="shared" si="0"/>
        <v>7</v>
      </c>
      <c r="K33" s="71" t="s">
        <v>266</v>
      </c>
      <c r="L33" s="77" t="s">
        <v>253</v>
      </c>
    </row>
    <row r="34" spans="1:12" ht="21.6" hidden="1" customHeight="1" x14ac:dyDescent="0.25">
      <c r="A34" s="86">
        <v>1</v>
      </c>
      <c r="B34" s="87">
        <v>1</v>
      </c>
      <c r="C34" s="84" t="s">
        <v>303</v>
      </c>
      <c r="D34" s="81" t="s">
        <v>304</v>
      </c>
      <c r="E34" s="69">
        <v>2</v>
      </c>
      <c r="F34" s="70" t="str">
        <f>VLOOKUP(D34,[2]Kewei!$C$4:$E$36,3,0)</f>
        <v>Kewei, China</v>
      </c>
      <c r="G34">
        <v>33</v>
      </c>
      <c r="H34" s="71">
        <v>4</v>
      </c>
      <c r="I34" s="71">
        <v>3</v>
      </c>
      <c r="J34" s="71">
        <f t="shared" si="0"/>
        <v>7</v>
      </c>
      <c r="K34" s="71" t="s">
        <v>266</v>
      </c>
      <c r="L34" s="77" t="s">
        <v>253</v>
      </c>
    </row>
    <row r="35" spans="1:12" ht="21.6" hidden="1" customHeight="1" x14ac:dyDescent="0.25">
      <c r="A35" s="86">
        <v>1</v>
      </c>
      <c r="B35" s="87">
        <v>2</v>
      </c>
      <c r="C35" s="70" t="s">
        <v>257</v>
      </c>
      <c r="D35" s="81" t="s">
        <v>305</v>
      </c>
      <c r="E35" s="69">
        <v>1</v>
      </c>
      <c r="F35" s="70" t="str">
        <f>VLOOKUP(D35,[2]Kewei!$C$4:$E$36,3,0)</f>
        <v>Kewei, China</v>
      </c>
      <c r="G35">
        <v>34</v>
      </c>
      <c r="H35" s="71">
        <v>4</v>
      </c>
      <c r="I35" s="71">
        <v>3</v>
      </c>
      <c r="J35" s="71">
        <f t="shared" si="0"/>
        <v>7</v>
      </c>
      <c r="K35" s="71" t="s">
        <v>266</v>
      </c>
      <c r="L35" s="77" t="s">
        <v>253</v>
      </c>
    </row>
    <row r="36" spans="1:12" ht="21.6" hidden="1" customHeight="1" x14ac:dyDescent="0.25">
      <c r="A36" s="86">
        <v>1</v>
      </c>
      <c r="B36" s="87">
        <v>2</v>
      </c>
      <c r="C36" s="70" t="s">
        <v>257</v>
      </c>
      <c r="D36" s="81" t="s">
        <v>306</v>
      </c>
      <c r="E36" s="82">
        <v>1</v>
      </c>
      <c r="F36" s="70" t="str">
        <f>VLOOKUP(D36,[2]Kewei!$C$4:$E$36,3,0)</f>
        <v>Kewei, China</v>
      </c>
      <c r="G36">
        <v>35</v>
      </c>
      <c r="H36" s="71">
        <v>4</v>
      </c>
      <c r="I36" s="71">
        <v>3</v>
      </c>
      <c r="J36" s="71">
        <f t="shared" si="0"/>
        <v>7</v>
      </c>
      <c r="K36" s="71" t="s">
        <v>266</v>
      </c>
      <c r="L36" s="77" t="s">
        <v>253</v>
      </c>
    </row>
    <row r="37" spans="1:12" ht="21.6" hidden="1" customHeight="1" x14ac:dyDescent="0.25">
      <c r="A37" s="86">
        <v>1</v>
      </c>
      <c r="B37" s="87">
        <v>2</v>
      </c>
      <c r="C37" s="84" t="s">
        <v>303</v>
      </c>
      <c r="D37" s="81" t="s">
        <v>307</v>
      </c>
      <c r="E37" s="69">
        <v>1</v>
      </c>
      <c r="F37" s="70" t="str">
        <f>VLOOKUP(D37,[2]Kewei!$C$4:$E$36,3,0)</f>
        <v>Kewei, China</v>
      </c>
      <c r="G37">
        <v>36</v>
      </c>
      <c r="H37" s="71">
        <v>4</v>
      </c>
      <c r="I37" s="71">
        <v>3</v>
      </c>
      <c r="J37" s="71">
        <f t="shared" si="0"/>
        <v>7</v>
      </c>
      <c r="K37" s="71" t="s">
        <v>266</v>
      </c>
      <c r="L37" s="77" t="s">
        <v>253</v>
      </c>
    </row>
    <row r="38" spans="1:12" ht="21.6" hidden="1" customHeight="1" x14ac:dyDescent="0.25">
      <c r="A38" s="86">
        <v>1</v>
      </c>
      <c r="B38" s="87">
        <v>2</v>
      </c>
      <c r="C38" s="84" t="s">
        <v>303</v>
      </c>
      <c r="D38" s="81" t="s">
        <v>308</v>
      </c>
      <c r="E38" s="69">
        <v>1</v>
      </c>
      <c r="F38" s="70" t="str">
        <f>VLOOKUP(D38,[2]Kewei!$C$4:$E$36,3,0)</f>
        <v>Kewei, China</v>
      </c>
      <c r="G38">
        <v>37</v>
      </c>
      <c r="H38" s="71">
        <v>4</v>
      </c>
      <c r="I38" s="71">
        <v>3</v>
      </c>
      <c r="J38" s="71">
        <f t="shared" si="0"/>
        <v>7</v>
      </c>
      <c r="K38" s="71" t="s">
        <v>266</v>
      </c>
      <c r="L38" s="77" t="s">
        <v>253</v>
      </c>
    </row>
    <row r="39" spans="1:12" ht="21.6" hidden="1" customHeight="1" x14ac:dyDescent="0.25">
      <c r="A39" s="86">
        <v>1</v>
      </c>
      <c r="B39" s="87">
        <v>2</v>
      </c>
      <c r="C39" s="84" t="s">
        <v>303</v>
      </c>
      <c r="D39" s="81" t="s">
        <v>309</v>
      </c>
      <c r="E39" s="69">
        <v>1</v>
      </c>
      <c r="F39" s="70" t="str">
        <f>VLOOKUP(D39,[2]Kewei!$C$4:$E$36,3,0)</f>
        <v>Kewei, China</v>
      </c>
      <c r="G39">
        <v>38</v>
      </c>
      <c r="H39" s="71">
        <v>4</v>
      </c>
      <c r="I39" s="71">
        <v>3</v>
      </c>
      <c r="J39" s="71">
        <f t="shared" si="0"/>
        <v>7</v>
      </c>
      <c r="K39" s="71" t="s">
        <v>266</v>
      </c>
      <c r="L39" s="77" t="s">
        <v>253</v>
      </c>
    </row>
    <row r="40" spans="1:12" ht="21.6" hidden="1" customHeight="1" x14ac:dyDescent="0.25">
      <c r="A40" s="86">
        <v>1</v>
      </c>
      <c r="B40" s="87">
        <v>2</v>
      </c>
      <c r="C40" s="84" t="s">
        <v>303</v>
      </c>
      <c r="D40" s="81" t="s">
        <v>310</v>
      </c>
      <c r="E40" s="69">
        <v>1</v>
      </c>
      <c r="F40" s="70" t="str">
        <f>VLOOKUP(D40,[2]Kewei!$C$4:$E$36,3,0)</f>
        <v>Kewei, China</v>
      </c>
      <c r="G40">
        <v>39</v>
      </c>
      <c r="H40" s="71">
        <v>4</v>
      </c>
      <c r="I40" s="71">
        <v>3</v>
      </c>
      <c r="J40" s="71">
        <f t="shared" si="0"/>
        <v>7</v>
      </c>
      <c r="K40" s="71" t="s">
        <v>266</v>
      </c>
      <c r="L40" s="77" t="s">
        <v>253</v>
      </c>
    </row>
    <row r="41" spans="1:12" ht="21.6" hidden="1" customHeight="1" x14ac:dyDescent="0.25">
      <c r="A41" s="86">
        <v>1</v>
      </c>
      <c r="B41" s="87">
        <v>2</v>
      </c>
      <c r="C41" s="84" t="s">
        <v>303</v>
      </c>
      <c r="D41" s="81" t="s">
        <v>311</v>
      </c>
      <c r="E41" s="69">
        <v>1</v>
      </c>
      <c r="F41" s="70" t="str">
        <f>VLOOKUP(D41,[2]Kewei!$C$4:$E$36,3,0)</f>
        <v>Kewei, China</v>
      </c>
      <c r="G41">
        <v>40</v>
      </c>
      <c r="H41" s="71">
        <v>4</v>
      </c>
      <c r="I41" s="71">
        <v>3</v>
      </c>
      <c r="J41" s="71">
        <f t="shared" si="0"/>
        <v>7</v>
      </c>
      <c r="K41" s="71" t="s">
        <v>266</v>
      </c>
      <c r="L41" s="77" t="s">
        <v>253</v>
      </c>
    </row>
    <row r="42" spans="1:12" ht="15" hidden="1" x14ac:dyDescent="0.25">
      <c r="A42" s="86">
        <v>1</v>
      </c>
      <c r="B42" s="87">
        <v>4</v>
      </c>
      <c r="C42" s="84" t="s">
        <v>117</v>
      </c>
      <c r="D42" s="81" t="s">
        <v>312</v>
      </c>
      <c r="E42" s="69">
        <v>2</v>
      </c>
      <c r="F42" s="88" t="s">
        <v>313</v>
      </c>
      <c r="G42">
        <v>41</v>
      </c>
      <c r="H42" s="71">
        <v>4</v>
      </c>
      <c r="I42" s="71">
        <v>3</v>
      </c>
      <c r="J42" s="71">
        <f t="shared" si="0"/>
        <v>7</v>
      </c>
      <c r="K42" s="71" t="s">
        <v>314</v>
      </c>
      <c r="L42" s="77" t="s">
        <v>253</v>
      </c>
    </row>
    <row r="43" spans="1:12" ht="15" hidden="1" x14ac:dyDescent="0.25">
      <c r="A43" s="86">
        <v>1</v>
      </c>
      <c r="B43" s="87">
        <v>8</v>
      </c>
      <c r="C43" s="84" t="s">
        <v>268</v>
      </c>
      <c r="D43" s="81" t="s">
        <v>315</v>
      </c>
      <c r="E43" s="69">
        <v>2</v>
      </c>
      <c r="F43" s="87" t="s">
        <v>316</v>
      </c>
      <c r="G43">
        <v>42</v>
      </c>
      <c r="H43" s="71">
        <v>4</v>
      </c>
      <c r="I43" s="71">
        <v>3</v>
      </c>
      <c r="J43" s="71">
        <f t="shared" si="0"/>
        <v>7</v>
      </c>
      <c r="K43" s="71"/>
      <c r="L43" s="77" t="s">
        <v>253</v>
      </c>
    </row>
    <row r="44" spans="1:12" ht="21.6" hidden="1" customHeight="1" x14ac:dyDescent="0.25">
      <c r="A44" s="66">
        <v>2</v>
      </c>
      <c r="B44" s="73">
        <v>11</v>
      </c>
      <c r="C44" s="84" t="s">
        <v>249</v>
      </c>
      <c r="D44" s="81" t="s">
        <v>317</v>
      </c>
      <c r="E44" s="69">
        <v>1</v>
      </c>
      <c r="F44" s="70" t="str">
        <f>VLOOKUP(D44,[2]Kewei!$C$4:$E$36,3,0)</f>
        <v>Kewei, China</v>
      </c>
      <c r="G44">
        <v>43</v>
      </c>
      <c r="H44" s="71">
        <v>4</v>
      </c>
      <c r="I44" s="71">
        <v>3</v>
      </c>
      <c r="J44" s="71">
        <f t="shared" si="0"/>
        <v>7</v>
      </c>
      <c r="K44" s="71" t="s">
        <v>266</v>
      </c>
      <c r="L44" s="77" t="s">
        <v>253</v>
      </c>
    </row>
    <row r="45" spans="1:12" ht="21.6" hidden="1" customHeight="1" x14ac:dyDescent="0.25">
      <c r="A45" s="66">
        <v>2</v>
      </c>
      <c r="B45" s="73">
        <v>11</v>
      </c>
      <c r="C45" s="84" t="s">
        <v>264</v>
      </c>
      <c r="D45" s="81" t="s">
        <v>318</v>
      </c>
      <c r="E45" s="69">
        <v>2</v>
      </c>
      <c r="F45" s="70" t="str">
        <f>VLOOKUP(D45,[2]Kewei!$C$4:$E$36,3,0)</f>
        <v>Kewei, China</v>
      </c>
      <c r="G45">
        <v>44</v>
      </c>
      <c r="H45" s="71">
        <v>4</v>
      </c>
      <c r="I45" s="71">
        <v>3</v>
      </c>
      <c r="J45" s="71">
        <f t="shared" si="0"/>
        <v>7</v>
      </c>
      <c r="K45" s="71" t="s">
        <v>266</v>
      </c>
      <c r="L45" s="77" t="s">
        <v>253</v>
      </c>
    </row>
    <row r="46" spans="1:12" ht="21.6" hidden="1" customHeight="1" x14ac:dyDescent="0.25">
      <c r="A46" s="66">
        <v>2</v>
      </c>
      <c r="B46" s="73">
        <v>11</v>
      </c>
      <c r="C46" s="84" t="s">
        <v>264</v>
      </c>
      <c r="D46" s="81" t="s">
        <v>319</v>
      </c>
      <c r="E46" s="69">
        <v>1</v>
      </c>
      <c r="F46" s="70" t="str">
        <f>VLOOKUP(D46,[2]Kewei!$C$4:$E$36,3,0)</f>
        <v>Kewei, China</v>
      </c>
      <c r="G46">
        <v>45</v>
      </c>
      <c r="H46" s="71">
        <v>4</v>
      </c>
      <c r="I46" s="71">
        <v>3</v>
      </c>
      <c r="J46" s="71">
        <f t="shared" si="0"/>
        <v>7</v>
      </c>
      <c r="K46" s="71" t="s">
        <v>266</v>
      </c>
      <c r="L46" s="77" t="s">
        <v>253</v>
      </c>
    </row>
    <row r="47" spans="1:12" ht="21.6" hidden="1" customHeight="1" x14ac:dyDescent="0.25">
      <c r="A47" s="66">
        <v>2</v>
      </c>
      <c r="B47" s="73">
        <v>11</v>
      </c>
      <c r="C47" s="70" t="s">
        <v>264</v>
      </c>
      <c r="D47" s="81" t="s">
        <v>320</v>
      </c>
      <c r="E47" s="69">
        <v>1</v>
      </c>
      <c r="F47" s="70" t="str">
        <f>VLOOKUP(D47,[2]Kewei!$C$4:$E$36,3,0)</f>
        <v>Kewei, China</v>
      </c>
      <c r="G47">
        <v>46</v>
      </c>
      <c r="H47" s="71">
        <v>4</v>
      </c>
      <c r="I47" s="71">
        <v>3</v>
      </c>
      <c r="J47" s="71">
        <f t="shared" si="0"/>
        <v>7</v>
      </c>
      <c r="K47" s="71" t="s">
        <v>266</v>
      </c>
      <c r="L47" s="77" t="s">
        <v>253</v>
      </c>
    </row>
    <row r="48" spans="1:12" ht="21.6" hidden="1" customHeight="1" x14ac:dyDescent="0.25">
      <c r="A48" s="66">
        <v>2</v>
      </c>
      <c r="B48" s="73">
        <v>11</v>
      </c>
      <c r="C48" s="84" t="s">
        <v>268</v>
      </c>
      <c r="D48" s="81" t="s">
        <v>321</v>
      </c>
      <c r="E48" s="69">
        <v>1</v>
      </c>
      <c r="F48" s="70" t="str">
        <f>VLOOKUP(D48,[2]Kewei!$C$4:$E$36,3,0)</f>
        <v>Kewei, China</v>
      </c>
      <c r="G48">
        <v>47</v>
      </c>
      <c r="H48" s="71">
        <v>4</v>
      </c>
      <c r="I48" s="71">
        <v>3</v>
      </c>
      <c r="J48" s="71">
        <f t="shared" si="0"/>
        <v>7</v>
      </c>
      <c r="K48" s="71" t="s">
        <v>266</v>
      </c>
      <c r="L48" s="77" t="s">
        <v>253</v>
      </c>
    </row>
    <row r="49" spans="1:12" ht="15" hidden="1" x14ac:dyDescent="0.25">
      <c r="A49" s="66">
        <v>2</v>
      </c>
      <c r="B49" s="73">
        <v>15</v>
      </c>
      <c r="C49" s="84" t="s">
        <v>249</v>
      </c>
      <c r="D49" s="81" t="s">
        <v>322</v>
      </c>
      <c r="E49" s="69">
        <v>2</v>
      </c>
      <c r="F49" s="88" t="s">
        <v>323</v>
      </c>
      <c r="G49">
        <v>48</v>
      </c>
      <c r="H49" s="71">
        <v>4</v>
      </c>
      <c r="I49" s="71">
        <v>3</v>
      </c>
      <c r="J49" s="71">
        <f t="shared" si="0"/>
        <v>7</v>
      </c>
      <c r="K49" s="71" t="s">
        <v>314</v>
      </c>
      <c r="L49" s="77" t="s">
        <v>253</v>
      </c>
    </row>
    <row r="50" spans="1:12" ht="15" hidden="1" x14ac:dyDescent="0.25">
      <c r="A50" s="66">
        <v>2</v>
      </c>
      <c r="B50" s="73">
        <v>15</v>
      </c>
      <c r="C50" s="84" t="s">
        <v>249</v>
      </c>
      <c r="D50" s="81" t="s">
        <v>324</v>
      </c>
      <c r="E50" s="69">
        <v>1</v>
      </c>
      <c r="F50" s="88" t="s">
        <v>323</v>
      </c>
      <c r="G50">
        <v>49</v>
      </c>
      <c r="H50" s="71">
        <v>4</v>
      </c>
      <c r="I50" s="71">
        <v>3</v>
      </c>
      <c r="J50" s="71">
        <f t="shared" si="0"/>
        <v>7</v>
      </c>
      <c r="K50" s="71" t="s">
        <v>314</v>
      </c>
      <c r="L50" s="77" t="s">
        <v>253</v>
      </c>
    </row>
    <row r="51" spans="1:12" ht="15" hidden="1" x14ac:dyDescent="0.25">
      <c r="A51" s="66">
        <v>2</v>
      </c>
      <c r="B51" s="73">
        <v>15</v>
      </c>
      <c r="C51" s="84" t="s">
        <v>249</v>
      </c>
      <c r="D51" s="81" t="s">
        <v>325</v>
      </c>
      <c r="E51" s="69">
        <v>1</v>
      </c>
      <c r="F51" s="88" t="s">
        <v>323</v>
      </c>
      <c r="G51">
        <v>50</v>
      </c>
      <c r="H51" s="71">
        <v>4</v>
      </c>
      <c r="I51" s="71">
        <v>3</v>
      </c>
      <c r="J51" s="71">
        <f t="shared" si="0"/>
        <v>7</v>
      </c>
      <c r="K51" s="71" t="s">
        <v>314</v>
      </c>
      <c r="L51" s="77" t="s">
        <v>253</v>
      </c>
    </row>
    <row r="52" spans="1:12" ht="21.6" hidden="1" customHeight="1" x14ac:dyDescent="0.25">
      <c r="A52" s="66">
        <v>4</v>
      </c>
      <c r="B52" s="73">
        <v>22</v>
      </c>
      <c r="C52" s="70" t="s">
        <v>249</v>
      </c>
      <c r="D52" s="81" t="s">
        <v>326</v>
      </c>
      <c r="E52" s="69">
        <v>1</v>
      </c>
      <c r="F52" s="76" t="str">
        <f>VLOOKUP(D52,[2]Kewei!$C$4:$E$36,3,0)</f>
        <v>Kewei, China</v>
      </c>
      <c r="G52">
        <v>51</v>
      </c>
      <c r="H52" s="71">
        <v>4</v>
      </c>
      <c r="I52" s="71">
        <v>3</v>
      </c>
      <c r="J52" s="71">
        <f t="shared" si="0"/>
        <v>7</v>
      </c>
      <c r="K52" s="71" t="s">
        <v>266</v>
      </c>
      <c r="L52" s="77" t="s">
        <v>253</v>
      </c>
    </row>
    <row r="53" spans="1:12" ht="21.6" hidden="1" customHeight="1" x14ac:dyDescent="0.25">
      <c r="A53" s="66">
        <v>4</v>
      </c>
      <c r="B53" s="73">
        <v>22</v>
      </c>
      <c r="C53" s="70" t="s">
        <v>249</v>
      </c>
      <c r="D53" s="81" t="s">
        <v>327</v>
      </c>
      <c r="E53" s="69">
        <v>1</v>
      </c>
      <c r="F53" s="76" t="str">
        <f>VLOOKUP(D53,[2]Kewei!$C$4:$E$36,3,0)</f>
        <v>Kewei, China</v>
      </c>
      <c r="G53">
        <v>52</v>
      </c>
      <c r="H53" s="71">
        <v>4</v>
      </c>
      <c r="I53" s="71">
        <v>3</v>
      </c>
      <c r="J53" s="71">
        <f t="shared" si="0"/>
        <v>7</v>
      </c>
      <c r="K53" s="71" t="s">
        <v>266</v>
      </c>
      <c r="L53" s="77" t="s">
        <v>253</v>
      </c>
    </row>
    <row r="54" spans="1:12" ht="21.6" hidden="1" customHeight="1" x14ac:dyDescent="0.25">
      <c r="A54" s="66">
        <v>4</v>
      </c>
      <c r="B54" s="73">
        <v>22</v>
      </c>
      <c r="C54" s="70" t="s">
        <v>249</v>
      </c>
      <c r="D54" s="81" t="s">
        <v>328</v>
      </c>
      <c r="E54" s="69">
        <v>1</v>
      </c>
      <c r="F54" s="76" t="str">
        <f>VLOOKUP(D54,[2]Kewei!$C$4:$E$36,3,0)</f>
        <v>Kewei, China</v>
      </c>
      <c r="G54">
        <v>53</v>
      </c>
      <c r="H54" s="71">
        <v>4</v>
      </c>
      <c r="I54" s="71">
        <v>3</v>
      </c>
      <c r="J54" s="71">
        <f t="shared" si="0"/>
        <v>7</v>
      </c>
      <c r="K54" s="71" t="s">
        <v>266</v>
      </c>
      <c r="L54" s="77" t="s">
        <v>253</v>
      </c>
    </row>
    <row r="55" spans="1:12" ht="21.6" hidden="1" customHeight="1" x14ac:dyDescent="0.25">
      <c r="A55" s="66">
        <v>4</v>
      </c>
      <c r="B55" s="73">
        <v>23</v>
      </c>
      <c r="C55" s="70" t="s">
        <v>329</v>
      </c>
      <c r="D55" s="81" t="s">
        <v>330</v>
      </c>
      <c r="E55" s="69">
        <v>1</v>
      </c>
      <c r="F55" s="76" t="str">
        <f>VLOOKUP(D55,[2]Kewei!$C$4:$E$36,3,0)</f>
        <v>Kewei, China</v>
      </c>
      <c r="G55">
        <v>54</v>
      </c>
      <c r="H55" s="71">
        <v>4</v>
      </c>
      <c r="I55" s="71">
        <v>3</v>
      </c>
      <c r="J55" s="71">
        <f t="shared" si="0"/>
        <v>7</v>
      </c>
      <c r="K55" s="71" t="s">
        <v>266</v>
      </c>
      <c r="L55" s="77" t="s">
        <v>253</v>
      </c>
    </row>
    <row r="56" spans="1:12" ht="21.6" hidden="1" customHeight="1" x14ac:dyDescent="0.25">
      <c r="A56" s="66">
        <v>4</v>
      </c>
      <c r="B56" s="73">
        <v>23</v>
      </c>
      <c r="C56" s="84" t="s">
        <v>329</v>
      </c>
      <c r="D56" s="81" t="s">
        <v>331</v>
      </c>
      <c r="E56" s="69">
        <v>35</v>
      </c>
      <c r="F56" s="76" t="s">
        <v>256</v>
      </c>
      <c r="G56">
        <v>55</v>
      </c>
      <c r="H56" s="71">
        <v>4</v>
      </c>
      <c r="I56" s="71">
        <v>3</v>
      </c>
      <c r="J56" s="71">
        <f t="shared" si="0"/>
        <v>7</v>
      </c>
      <c r="K56" s="71" t="s">
        <v>266</v>
      </c>
      <c r="L56" s="77" t="s">
        <v>253</v>
      </c>
    </row>
    <row r="57" spans="1:12" ht="21.6" hidden="1" customHeight="1" x14ac:dyDescent="0.25">
      <c r="A57" s="66">
        <v>4</v>
      </c>
      <c r="B57" s="73">
        <v>23</v>
      </c>
      <c r="C57" s="84" t="s">
        <v>329</v>
      </c>
      <c r="D57" s="81" t="s">
        <v>332</v>
      </c>
      <c r="E57" s="69">
        <v>2</v>
      </c>
      <c r="F57" s="76" t="s">
        <v>256</v>
      </c>
      <c r="G57">
        <v>56</v>
      </c>
      <c r="H57" s="71">
        <v>4</v>
      </c>
      <c r="I57" s="71">
        <v>3</v>
      </c>
      <c r="J57" s="71">
        <f t="shared" si="0"/>
        <v>7</v>
      </c>
      <c r="K57" s="71" t="s">
        <v>266</v>
      </c>
      <c r="L57" s="77" t="s">
        <v>253</v>
      </c>
    </row>
    <row r="58" spans="1:12" ht="21.6" hidden="1" customHeight="1" x14ac:dyDescent="0.25">
      <c r="A58" s="66">
        <v>4</v>
      </c>
      <c r="B58" s="73">
        <v>24</v>
      </c>
      <c r="C58" s="80" t="s">
        <v>333</v>
      </c>
      <c r="D58" s="81" t="s">
        <v>334</v>
      </c>
      <c r="E58" s="69">
        <v>2</v>
      </c>
      <c r="F58" s="76" t="str">
        <f>VLOOKUP(D58,[2]Kewei!$C$4:$E$36,3,0)</f>
        <v>Kewei, China</v>
      </c>
      <c r="G58">
        <v>57</v>
      </c>
      <c r="H58" s="71">
        <v>4</v>
      </c>
      <c r="I58" s="71">
        <v>3</v>
      </c>
      <c r="J58" s="71">
        <f t="shared" si="0"/>
        <v>7</v>
      </c>
      <c r="K58" s="71" t="s">
        <v>266</v>
      </c>
      <c r="L58" s="77" t="s">
        <v>253</v>
      </c>
    </row>
    <row r="59" spans="1:12" ht="21.6" hidden="1" customHeight="1" x14ac:dyDescent="0.25">
      <c r="A59" s="66">
        <v>4</v>
      </c>
      <c r="B59" s="73">
        <v>24</v>
      </c>
      <c r="C59" s="80" t="s">
        <v>333</v>
      </c>
      <c r="D59" s="89" t="s">
        <v>335</v>
      </c>
      <c r="E59" s="90">
        <v>1</v>
      </c>
      <c r="F59" s="76" t="str">
        <f>VLOOKUP(D59,[2]Kewei!$C$4:$E$36,3,0)</f>
        <v>Kewei, China</v>
      </c>
      <c r="G59">
        <v>58</v>
      </c>
      <c r="H59" s="71">
        <v>4</v>
      </c>
      <c r="I59" s="71">
        <v>3</v>
      </c>
      <c r="J59" s="71">
        <f t="shared" si="0"/>
        <v>7</v>
      </c>
      <c r="K59" s="71" t="s">
        <v>266</v>
      </c>
      <c r="L59" s="77" t="s">
        <v>253</v>
      </c>
    </row>
    <row r="60" spans="1:12" ht="15" hidden="1" x14ac:dyDescent="0.25">
      <c r="A60" s="66" t="s">
        <v>242</v>
      </c>
      <c r="B60" s="73">
        <v>25</v>
      </c>
      <c r="C60" s="74" t="s">
        <v>249</v>
      </c>
      <c r="D60" s="68" t="s">
        <v>336</v>
      </c>
      <c r="E60" s="75">
        <v>1</v>
      </c>
      <c r="F60" s="93" t="s">
        <v>262</v>
      </c>
      <c r="G60">
        <v>59</v>
      </c>
      <c r="H60" s="71">
        <v>6</v>
      </c>
      <c r="I60" s="71">
        <v>1</v>
      </c>
      <c r="J60" s="71">
        <f t="shared" si="0"/>
        <v>7</v>
      </c>
      <c r="K60" s="85" t="s">
        <v>263</v>
      </c>
      <c r="L60" s="77" t="s">
        <v>253</v>
      </c>
    </row>
    <row r="61" spans="1:12" ht="15" hidden="1" x14ac:dyDescent="0.25">
      <c r="A61" s="66" t="s">
        <v>242</v>
      </c>
      <c r="B61" s="73">
        <v>25</v>
      </c>
      <c r="C61" s="74" t="s">
        <v>249</v>
      </c>
      <c r="D61" s="68" t="s">
        <v>337</v>
      </c>
      <c r="E61" s="75">
        <v>1</v>
      </c>
      <c r="F61" s="93" t="s">
        <v>262</v>
      </c>
      <c r="G61">
        <v>60</v>
      </c>
      <c r="H61" s="71">
        <v>6</v>
      </c>
      <c r="I61" s="71">
        <v>1</v>
      </c>
      <c r="J61" s="71">
        <f t="shared" si="0"/>
        <v>7</v>
      </c>
      <c r="K61" s="85" t="s">
        <v>263</v>
      </c>
      <c r="L61" s="77" t="s">
        <v>253</v>
      </c>
    </row>
    <row r="62" spans="1:12" ht="15" hidden="1" x14ac:dyDescent="0.25">
      <c r="A62" s="66" t="s">
        <v>242</v>
      </c>
      <c r="B62" s="73">
        <v>25</v>
      </c>
      <c r="C62" s="74" t="s">
        <v>249</v>
      </c>
      <c r="D62" s="68" t="s">
        <v>338</v>
      </c>
      <c r="E62" s="75">
        <v>1</v>
      </c>
      <c r="F62" s="93" t="s">
        <v>262</v>
      </c>
      <c r="G62">
        <v>61</v>
      </c>
      <c r="H62" s="71">
        <v>6</v>
      </c>
      <c r="I62" s="71">
        <v>1</v>
      </c>
      <c r="J62" s="71">
        <f t="shared" si="0"/>
        <v>7</v>
      </c>
      <c r="K62" s="85" t="s">
        <v>263</v>
      </c>
      <c r="L62" s="77" t="s">
        <v>253</v>
      </c>
    </row>
    <row r="63" spans="1:12" ht="30" hidden="1" x14ac:dyDescent="0.25">
      <c r="A63" s="66" t="s">
        <v>242</v>
      </c>
      <c r="B63" s="73">
        <v>25</v>
      </c>
      <c r="C63" s="74" t="s">
        <v>249</v>
      </c>
      <c r="D63" s="68" t="s">
        <v>339</v>
      </c>
      <c r="E63" s="75">
        <v>1</v>
      </c>
      <c r="F63" s="93" t="s">
        <v>262</v>
      </c>
      <c r="G63">
        <v>62</v>
      </c>
      <c r="H63" s="71">
        <v>6</v>
      </c>
      <c r="I63" s="71">
        <v>1</v>
      </c>
      <c r="J63" s="71">
        <f t="shared" si="0"/>
        <v>7</v>
      </c>
      <c r="K63" s="85" t="s">
        <v>263</v>
      </c>
      <c r="L63" s="77" t="s">
        <v>253</v>
      </c>
    </row>
    <row r="64" spans="1:12" ht="15" hidden="1" x14ac:dyDescent="0.25">
      <c r="A64" s="66">
        <v>2</v>
      </c>
      <c r="B64" s="73">
        <v>27</v>
      </c>
      <c r="C64" s="84" t="s">
        <v>249</v>
      </c>
      <c r="D64" s="81" t="s">
        <v>340</v>
      </c>
      <c r="E64" s="69">
        <v>1</v>
      </c>
      <c r="F64" s="88" t="s">
        <v>313</v>
      </c>
      <c r="G64">
        <v>63</v>
      </c>
      <c r="H64" s="71">
        <v>4</v>
      </c>
      <c r="I64" s="71">
        <v>3</v>
      </c>
      <c r="J64" s="71">
        <f t="shared" si="0"/>
        <v>7</v>
      </c>
      <c r="K64" s="71" t="s">
        <v>314</v>
      </c>
      <c r="L64" s="77" t="s">
        <v>253</v>
      </c>
    </row>
    <row r="65" spans="1:12" ht="21.6" hidden="1" customHeight="1" x14ac:dyDescent="0.25">
      <c r="A65" s="66" t="s">
        <v>242</v>
      </c>
      <c r="B65" s="73">
        <v>35</v>
      </c>
      <c r="C65" s="84" t="s">
        <v>249</v>
      </c>
      <c r="D65" s="81" t="s">
        <v>341</v>
      </c>
      <c r="E65" s="69">
        <v>15</v>
      </c>
      <c r="F65" s="70" t="s">
        <v>256</v>
      </c>
      <c r="G65">
        <v>64</v>
      </c>
      <c r="H65" s="71">
        <v>4</v>
      </c>
      <c r="I65" s="71">
        <v>3</v>
      </c>
      <c r="J65" s="71">
        <f t="shared" si="0"/>
        <v>7</v>
      </c>
      <c r="K65" s="71" t="s">
        <v>266</v>
      </c>
      <c r="L65" s="77" t="s">
        <v>253</v>
      </c>
    </row>
    <row r="66" spans="1:12" ht="21.6" hidden="1" customHeight="1" x14ac:dyDescent="0.25">
      <c r="A66" s="66" t="s">
        <v>242</v>
      </c>
      <c r="B66" s="73">
        <v>35</v>
      </c>
      <c r="C66" s="84" t="s">
        <v>249</v>
      </c>
      <c r="D66" s="89" t="s">
        <v>342</v>
      </c>
      <c r="E66" s="90">
        <v>3</v>
      </c>
      <c r="F66" s="76" t="s">
        <v>256</v>
      </c>
      <c r="G66">
        <v>65</v>
      </c>
      <c r="H66" s="71">
        <v>4</v>
      </c>
      <c r="I66" s="71">
        <v>3</v>
      </c>
      <c r="J66" s="71">
        <f t="shared" ref="J66:J121" si="1">H66+I66</f>
        <v>7</v>
      </c>
      <c r="K66" s="71" t="s">
        <v>266</v>
      </c>
      <c r="L66" s="77" t="s">
        <v>253</v>
      </c>
    </row>
    <row r="67" spans="1:12" ht="21.6" hidden="1" customHeight="1" x14ac:dyDescent="0.25">
      <c r="A67" s="66" t="s">
        <v>242</v>
      </c>
      <c r="B67" s="73">
        <v>35</v>
      </c>
      <c r="C67" s="84" t="s">
        <v>249</v>
      </c>
      <c r="D67" s="89" t="s">
        <v>343</v>
      </c>
      <c r="E67" s="90">
        <v>20</v>
      </c>
      <c r="F67" s="76" t="s">
        <v>256</v>
      </c>
      <c r="G67">
        <v>66</v>
      </c>
      <c r="H67" s="71">
        <v>4</v>
      </c>
      <c r="I67" s="71">
        <v>3</v>
      </c>
      <c r="J67" s="71">
        <f t="shared" si="1"/>
        <v>7</v>
      </c>
      <c r="K67" s="71" t="s">
        <v>266</v>
      </c>
      <c r="L67" s="77" t="s">
        <v>253</v>
      </c>
    </row>
    <row r="68" spans="1:12" ht="21.6" hidden="1" customHeight="1" x14ac:dyDescent="0.25">
      <c r="A68" s="66" t="s">
        <v>242</v>
      </c>
      <c r="B68" s="73">
        <v>35</v>
      </c>
      <c r="C68" s="84" t="s">
        <v>249</v>
      </c>
      <c r="D68" s="89" t="s">
        <v>344</v>
      </c>
      <c r="E68" s="90">
        <v>30</v>
      </c>
      <c r="F68" s="76" t="s">
        <v>256</v>
      </c>
      <c r="G68">
        <v>67</v>
      </c>
      <c r="H68" s="71">
        <v>4</v>
      </c>
      <c r="I68" s="71">
        <v>3</v>
      </c>
      <c r="J68" s="71">
        <f t="shared" si="1"/>
        <v>7</v>
      </c>
      <c r="K68" s="71" t="s">
        <v>266</v>
      </c>
      <c r="L68" s="77" t="s">
        <v>253</v>
      </c>
    </row>
    <row r="69" spans="1:12" ht="21.6" hidden="1" customHeight="1" x14ac:dyDescent="0.25">
      <c r="A69" s="66" t="s">
        <v>242</v>
      </c>
      <c r="B69" s="73">
        <v>35</v>
      </c>
      <c r="C69" s="84" t="s">
        <v>249</v>
      </c>
      <c r="D69" s="81" t="s">
        <v>345</v>
      </c>
      <c r="E69" s="69">
        <v>1</v>
      </c>
      <c r="F69" s="76" t="s">
        <v>256</v>
      </c>
      <c r="G69">
        <v>68</v>
      </c>
      <c r="H69" s="71">
        <v>4</v>
      </c>
      <c r="I69" s="71">
        <v>3</v>
      </c>
      <c r="J69" s="71">
        <f t="shared" si="1"/>
        <v>7</v>
      </c>
      <c r="K69" s="71" t="s">
        <v>266</v>
      </c>
      <c r="L69" s="77" t="s">
        <v>253</v>
      </c>
    </row>
    <row r="70" spans="1:12" ht="21.6" hidden="1" customHeight="1" x14ac:dyDescent="0.25">
      <c r="A70" s="66" t="s">
        <v>242</v>
      </c>
      <c r="B70" s="73">
        <v>35</v>
      </c>
      <c r="C70" s="84" t="s">
        <v>249</v>
      </c>
      <c r="D70" s="81" t="s">
        <v>346</v>
      </c>
      <c r="E70" s="69">
        <v>3</v>
      </c>
      <c r="F70" s="76" t="s">
        <v>256</v>
      </c>
      <c r="G70">
        <v>69</v>
      </c>
      <c r="H70" s="71">
        <v>4</v>
      </c>
      <c r="I70" s="71">
        <v>3</v>
      </c>
      <c r="J70" s="71">
        <f t="shared" si="1"/>
        <v>7</v>
      </c>
      <c r="K70" s="71" t="s">
        <v>266</v>
      </c>
      <c r="L70" s="77" t="s">
        <v>253</v>
      </c>
    </row>
    <row r="71" spans="1:12" ht="15" hidden="1" x14ac:dyDescent="0.25">
      <c r="A71" s="86">
        <v>1</v>
      </c>
      <c r="B71" s="87">
        <v>6</v>
      </c>
      <c r="C71" s="84" t="s">
        <v>329</v>
      </c>
      <c r="D71" s="89" t="s">
        <v>347</v>
      </c>
      <c r="E71" s="90">
        <v>2</v>
      </c>
      <c r="F71" s="87" t="s">
        <v>348</v>
      </c>
      <c r="G71">
        <v>70</v>
      </c>
      <c r="H71" s="71">
        <v>6</v>
      </c>
      <c r="I71" s="71">
        <v>0</v>
      </c>
      <c r="J71" s="71">
        <f t="shared" si="1"/>
        <v>6</v>
      </c>
      <c r="K71" s="71" t="s">
        <v>349</v>
      </c>
      <c r="L71" s="77" t="s">
        <v>253</v>
      </c>
    </row>
    <row r="72" spans="1:12" ht="15" hidden="1" x14ac:dyDescent="0.25">
      <c r="A72" s="66">
        <v>2</v>
      </c>
      <c r="B72" s="73">
        <v>12</v>
      </c>
      <c r="C72" s="84" t="s">
        <v>249</v>
      </c>
      <c r="D72" s="81" t="s">
        <v>350</v>
      </c>
      <c r="E72" s="69">
        <v>1</v>
      </c>
      <c r="F72" s="70" t="s">
        <v>351</v>
      </c>
      <c r="G72">
        <v>71</v>
      </c>
      <c r="H72" s="71">
        <v>6</v>
      </c>
      <c r="I72" s="71">
        <v>0</v>
      </c>
      <c r="J72" s="71">
        <f t="shared" si="1"/>
        <v>6</v>
      </c>
      <c r="K72" s="71" t="s">
        <v>349</v>
      </c>
      <c r="L72" s="77" t="s">
        <v>253</v>
      </c>
    </row>
    <row r="73" spans="1:12" ht="15" hidden="1" x14ac:dyDescent="0.25">
      <c r="A73" s="66">
        <v>2</v>
      </c>
      <c r="B73" s="73">
        <v>12</v>
      </c>
      <c r="C73" s="84" t="s">
        <v>249</v>
      </c>
      <c r="D73" s="81" t="s">
        <v>352</v>
      </c>
      <c r="E73" s="69">
        <v>1</v>
      </c>
      <c r="F73" s="70" t="s">
        <v>351</v>
      </c>
      <c r="G73">
        <v>72</v>
      </c>
      <c r="H73" s="71">
        <v>6</v>
      </c>
      <c r="I73" s="71">
        <v>0</v>
      </c>
      <c r="J73" s="71">
        <f t="shared" si="1"/>
        <v>6</v>
      </c>
      <c r="K73" s="71" t="s">
        <v>349</v>
      </c>
      <c r="L73" s="77" t="s">
        <v>253</v>
      </c>
    </row>
    <row r="74" spans="1:12" ht="15" hidden="1" x14ac:dyDescent="0.25">
      <c r="A74" s="66">
        <v>2</v>
      </c>
      <c r="B74" s="73">
        <v>12</v>
      </c>
      <c r="C74" s="84" t="s">
        <v>249</v>
      </c>
      <c r="D74" s="81" t="s">
        <v>353</v>
      </c>
      <c r="E74" s="69">
        <v>1</v>
      </c>
      <c r="F74" s="70" t="s">
        <v>351</v>
      </c>
      <c r="G74">
        <v>73</v>
      </c>
      <c r="H74" s="71">
        <v>6</v>
      </c>
      <c r="I74" s="71">
        <v>0</v>
      </c>
      <c r="J74" s="71">
        <f t="shared" si="1"/>
        <v>6</v>
      </c>
      <c r="K74" s="71" t="s">
        <v>349</v>
      </c>
      <c r="L74" s="77" t="s">
        <v>253</v>
      </c>
    </row>
    <row r="75" spans="1:12" ht="15" hidden="1" x14ac:dyDescent="0.25">
      <c r="A75" s="66">
        <v>2</v>
      </c>
      <c r="B75" s="73">
        <v>12</v>
      </c>
      <c r="C75" s="84" t="s">
        <v>249</v>
      </c>
      <c r="D75" s="81" t="s">
        <v>354</v>
      </c>
      <c r="E75" s="69">
        <v>1</v>
      </c>
      <c r="F75" s="70" t="s">
        <v>351</v>
      </c>
      <c r="G75">
        <v>74</v>
      </c>
      <c r="H75" s="71">
        <v>6</v>
      </c>
      <c r="I75" s="71">
        <v>0</v>
      </c>
      <c r="J75" s="71">
        <f t="shared" si="1"/>
        <v>6</v>
      </c>
      <c r="K75" s="71" t="s">
        <v>349</v>
      </c>
      <c r="L75" s="77" t="s">
        <v>253</v>
      </c>
    </row>
    <row r="76" spans="1:12" ht="15" hidden="1" x14ac:dyDescent="0.25">
      <c r="A76" s="66">
        <v>2</v>
      </c>
      <c r="B76" s="73">
        <v>12</v>
      </c>
      <c r="C76" s="84" t="s">
        <v>249</v>
      </c>
      <c r="D76" s="81" t="s">
        <v>355</v>
      </c>
      <c r="E76" s="69">
        <v>1</v>
      </c>
      <c r="F76" s="70" t="s">
        <v>351</v>
      </c>
      <c r="G76">
        <v>75</v>
      </c>
      <c r="H76" s="71">
        <v>6</v>
      </c>
      <c r="I76" s="71">
        <v>0</v>
      </c>
      <c r="J76" s="71">
        <f t="shared" si="1"/>
        <v>6</v>
      </c>
      <c r="K76" s="71" t="s">
        <v>349</v>
      </c>
      <c r="L76" s="77" t="s">
        <v>253</v>
      </c>
    </row>
    <row r="77" spans="1:12" ht="15" hidden="1" x14ac:dyDescent="0.25">
      <c r="A77" s="66">
        <v>3</v>
      </c>
      <c r="B77" s="73">
        <v>20</v>
      </c>
      <c r="C77" s="74" t="s">
        <v>249</v>
      </c>
      <c r="D77" s="68" t="s">
        <v>356</v>
      </c>
      <c r="E77" s="75">
        <v>1</v>
      </c>
      <c r="F77" s="97" t="s">
        <v>357</v>
      </c>
      <c r="G77">
        <v>76</v>
      </c>
      <c r="H77" s="71">
        <v>6</v>
      </c>
      <c r="I77" s="71">
        <v>0</v>
      </c>
      <c r="J77" s="71">
        <f t="shared" si="1"/>
        <v>6</v>
      </c>
      <c r="K77" s="71" t="s">
        <v>358</v>
      </c>
      <c r="L77" s="77" t="s">
        <v>253</v>
      </c>
    </row>
    <row r="78" spans="1:12" ht="25.5" hidden="1" x14ac:dyDescent="0.25">
      <c r="A78" s="66" t="s">
        <v>242</v>
      </c>
      <c r="B78" s="73">
        <v>38</v>
      </c>
      <c r="C78" s="98" t="s">
        <v>359</v>
      </c>
      <c r="D78" s="81" t="s">
        <v>360</v>
      </c>
      <c r="E78" s="69">
        <v>1</v>
      </c>
      <c r="F78" s="76" t="s">
        <v>361</v>
      </c>
      <c r="G78">
        <v>77</v>
      </c>
      <c r="H78" s="71">
        <v>6</v>
      </c>
      <c r="I78" s="71">
        <v>0</v>
      </c>
      <c r="J78" s="71">
        <f t="shared" si="1"/>
        <v>6</v>
      </c>
      <c r="K78" s="71"/>
      <c r="L78" s="77" t="s">
        <v>253</v>
      </c>
    </row>
    <row r="79" spans="1:12" ht="15" hidden="1" x14ac:dyDescent="0.25">
      <c r="A79" s="86">
        <v>1</v>
      </c>
      <c r="B79" s="87">
        <v>5</v>
      </c>
      <c r="C79" s="84" t="s">
        <v>117</v>
      </c>
      <c r="D79" s="81" t="s">
        <v>362</v>
      </c>
      <c r="E79" s="69">
        <v>1</v>
      </c>
      <c r="F79" s="87" t="s">
        <v>363</v>
      </c>
      <c r="G79">
        <v>78</v>
      </c>
      <c r="H79" s="71">
        <v>2</v>
      </c>
      <c r="I79" s="71">
        <v>2</v>
      </c>
      <c r="J79" s="71">
        <f t="shared" si="1"/>
        <v>4</v>
      </c>
      <c r="K79" s="71" t="s">
        <v>364</v>
      </c>
      <c r="L79" s="77" t="s">
        <v>253</v>
      </c>
    </row>
    <row r="80" spans="1:12" ht="15" hidden="1" x14ac:dyDescent="0.25">
      <c r="A80" s="66">
        <v>3</v>
      </c>
      <c r="B80" s="73">
        <v>19</v>
      </c>
      <c r="C80" s="93" t="s">
        <v>249</v>
      </c>
      <c r="D80" s="68" t="s">
        <v>365</v>
      </c>
      <c r="E80" s="75">
        <v>1</v>
      </c>
      <c r="F80" s="93" t="s">
        <v>366</v>
      </c>
      <c r="G80">
        <v>79</v>
      </c>
      <c r="H80" s="71">
        <v>4</v>
      </c>
      <c r="I80" s="71">
        <v>0</v>
      </c>
      <c r="J80" s="71">
        <f t="shared" si="1"/>
        <v>4</v>
      </c>
      <c r="K80" s="71" t="s">
        <v>287</v>
      </c>
      <c r="L80" s="77" t="s">
        <v>253</v>
      </c>
    </row>
    <row r="81" spans="1:12" ht="25.5" hidden="1" x14ac:dyDescent="0.25">
      <c r="A81" s="66" t="s">
        <v>242</v>
      </c>
      <c r="B81" s="73">
        <v>38</v>
      </c>
      <c r="C81" s="98" t="s">
        <v>359</v>
      </c>
      <c r="D81" s="81" t="s">
        <v>367</v>
      </c>
      <c r="E81" s="69">
        <v>1</v>
      </c>
      <c r="F81" s="76" t="s">
        <v>361</v>
      </c>
      <c r="G81">
        <v>80</v>
      </c>
      <c r="H81" s="71">
        <v>4</v>
      </c>
      <c r="I81" s="71">
        <v>0</v>
      </c>
      <c r="J81" s="71">
        <f t="shared" si="1"/>
        <v>4</v>
      </c>
      <c r="K81" s="71"/>
      <c r="L81" s="77" t="s">
        <v>253</v>
      </c>
    </row>
    <row r="82" spans="1:12" ht="15" hidden="1" x14ac:dyDescent="0.25">
      <c r="A82" s="66" t="s">
        <v>242</v>
      </c>
      <c r="B82" s="73" t="s">
        <v>368</v>
      </c>
      <c r="C82" s="84" t="s">
        <v>249</v>
      </c>
      <c r="D82" s="89" t="s">
        <v>369</v>
      </c>
      <c r="E82" s="90">
        <v>1</v>
      </c>
      <c r="F82" s="76" t="s">
        <v>370</v>
      </c>
      <c r="G82">
        <v>81</v>
      </c>
      <c r="H82" s="71">
        <v>2</v>
      </c>
      <c r="I82" s="71">
        <v>2</v>
      </c>
      <c r="J82" s="71">
        <f t="shared" si="1"/>
        <v>4</v>
      </c>
      <c r="L82" s="72" t="s">
        <v>245</v>
      </c>
    </row>
    <row r="83" spans="1:12" ht="15" hidden="1" x14ac:dyDescent="0.25">
      <c r="A83" s="66">
        <v>4</v>
      </c>
      <c r="B83" s="73" t="s">
        <v>371</v>
      </c>
      <c r="C83" s="84" t="s">
        <v>372</v>
      </c>
      <c r="D83" s="81" t="s">
        <v>373</v>
      </c>
      <c r="E83" s="69">
        <v>400</v>
      </c>
      <c r="F83" s="76"/>
      <c r="G83">
        <v>82</v>
      </c>
      <c r="H83" s="71">
        <v>2</v>
      </c>
      <c r="I83" s="71">
        <v>2</v>
      </c>
      <c r="J83" s="71">
        <f t="shared" si="1"/>
        <v>4</v>
      </c>
      <c r="L83" s="72" t="s">
        <v>245</v>
      </c>
    </row>
    <row r="84" spans="1:12" ht="15" hidden="1" x14ac:dyDescent="0.25">
      <c r="A84" s="66" t="s">
        <v>242</v>
      </c>
      <c r="B84" s="99">
        <v>33</v>
      </c>
      <c r="C84" s="84" t="s">
        <v>249</v>
      </c>
      <c r="D84" s="81" t="s">
        <v>374</v>
      </c>
      <c r="E84" s="69">
        <v>1</v>
      </c>
      <c r="F84" s="70" t="s">
        <v>375</v>
      </c>
      <c r="G84">
        <v>83</v>
      </c>
      <c r="H84" s="71">
        <v>2</v>
      </c>
      <c r="I84" s="71">
        <v>1</v>
      </c>
      <c r="J84" s="71">
        <f t="shared" si="1"/>
        <v>3</v>
      </c>
      <c r="K84" s="71"/>
      <c r="L84" s="100" t="s">
        <v>376</v>
      </c>
    </row>
    <row r="85" spans="1:12" s="101" customFormat="1" ht="15" hidden="1" x14ac:dyDescent="0.25">
      <c r="A85" s="66" t="s">
        <v>242</v>
      </c>
      <c r="B85" s="99">
        <v>33</v>
      </c>
      <c r="C85" s="84" t="s">
        <v>249</v>
      </c>
      <c r="D85" s="81" t="s">
        <v>377</v>
      </c>
      <c r="E85" s="69">
        <v>1</v>
      </c>
      <c r="F85" s="70" t="s">
        <v>375</v>
      </c>
      <c r="G85">
        <v>84</v>
      </c>
      <c r="H85" s="71">
        <v>2</v>
      </c>
      <c r="I85" s="71">
        <v>1</v>
      </c>
      <c r="J85" s="71">
        <f t="shared" si="1"/>
        <v>3</v>
      </c>
      <c r="K85" s="71"/>
      <c r="L85" s="100" t="s">
        <v>376</v>
      </c>
    </row>
    <row r="86" spans="1:12" ht="15" hidden="1" x14ac:dyDescent="0.25">
      <c r="A86" s="66" t="s">
        <v>242</v>
      </c>
      <c r="B86" s="99">
        <v>33</v>
      </c>
      <c r="C86" s="84" t="s">
        <v>249</v>
      </c>
      <c r="D86" s="81" t="s">
        <v>378</v>
      </c>
      <c r="E86" s="69">
        <v>4</v>
      </c>
      <c r="F86" s="70" t="s">
        <v>375</v>
      </c>
      <c r="G86">
        <v>85</v>
      </c>
      <c r="H86" s="71">
        <v>2</v>
      </c>
      <c r="I86" s="71">
        <v>1</v>
      </c>
      <c r="J86" s="71">
        <f t="shared" si="1"/>
        <v>3</v>
      </c>
      <c r="K86" s="71"/>
      <c r="L86" s="100" t="s">
        <v>376</v>
      </c>
    </row>
    <row r="87" spans="1:12" ht="15" hidden="1" x14ac:dyDescent="0.25">
      <c r="A87" s="66" t="s">
        <v>242</v>
      </c>
      <c r="B87" s="99">
        <v>33</v>
      </c>
      <c r="C87" s="84" t="s">
        <v>249</v>
      </c>
      <c r="D87" s="81" t="s">
        <v>379</v>
      </c>
      <c r="E87" s="69">
        <v>2</v>
      </c>
      <c r="F87" s="70" t="s">
        <v>375</v>
      </c>
      <c r="G87">
        <v>86</v>
      </c>
      <c r="H87" s="71">
        <v>2</v>
      </c>
      <c r="I87" s="71">
        <v>1</v>
      </c>
      <c r="J87" s="71">
        <f t="shared" si="1"/>
        <v>3</v>
      </c>
      <c r="K87" s="71"/>
      <c r="L87" s="100" t="s">
        <v>376</v>
      </c>
    </row>
    <row r="88" spans="1:12" ht="15" hidden="1" x14ac:dyDescent="0.25">
      <c r="A88" s="66" t="s">
        <v>242</v>
      </c>
      <c r="B88" s="99">
        <v>33</v>
      </c>
      <c r="C88" s="84" t="s">
        <v>249</v>
      </c>
      <c r="D88" s="81" t="s">
        <v>380</v>
      </c>
      <c r="E88" s="69">
        <v>2</v>
      </c>
      <c r="F88" s="70" t="s">
        <v>375</v>
      </c>
      <c r="G88">
        <v>87</v>
      </c>
      <c r="H88" s="71">
        <v>2</v>
      </c>
      <c r="I88" s="71">
        <v>1</v>
      </c>
      <c r="J88" s="71">
        <f t="shared" si="1"/>
        <v>3</v>
      </c>
      <c r="K88" s="71"/>
      <c r="L88" s="100" t="s">
        <v>376</v>
      </c>
    </row>
    <row r="89" spans="1:12" ht="15" hidden="1" x14ac:dyDescent="0.25">
      <c r="A89" s="66" t="s">
        <v>242</v>
      </c>
      <c r="B89" s="99">
        <v>33</v>
      </c>
      <c r="C89" s="84" t="s">
        <v>249</v>
      </c>
      <c r="D89" s="81" t="s">
        <v>381</v>
      </c>
      <c r="E89" s="69">
        <v>1</v>
      </c>
      <c r="F89" s="70" t="s">
        <v>375</v>
      </c>
      <c r="G89">
        <v>88</v>
      </c>
      <c r="H89" s="71">
        <v>2</v>
      </c>
      <c r="I89" s="71">
        <v>1</v>
      </c>
      <c r="J89" s="71">
        <f t="shared" si="1"/>
        <v>3</v>
      </c>
      <c r="K89" s="71"/>
      <c r="L89" s="100" t="s">
        <v>376</v>
      </c>
    </row>
    <row r="90" spans="1:12" ht="15" hidden="1" x14ac:dyDescent="0.25">
      <c r="A90" s="66" t="s">
        <v>242</v>
      </c>
      <c r="B90" s="99">
        <v>33</v>
      </c>
      <c r="C90" s="84" t="s">
        <v>249</v>
      </c>
      <c r="D90" s="81" t="s">
        <v>382</v>
      </c>
      <c r="E90" s="69">
        <v>5</v>
      </c>
      <c r="F90" s="70" t="s">
        <v>375</v>
      </c>
      <c r="G90">
        <v>89</v>
      </c>
      <c r="H90" s="71">
        <v>2</v>
      </c>
      <c r="I90" s="71">
        <v>1</v>
      </c>
      <c r="J90" s="71">
        <f t="shared" si="1"/>
        <v>3</v>
      </c>
      <c r="K90" s="71"/>
      <c r="L90" s="100" t="s">
        <v>376</v>
      </c>
    </row>
    <row r="91" spans="1:12" ht="15" hidden="1" x14ac:dyDescent="0.25">
      <c r="A91" s="66" t="s">
        <v>242</v>
      </c>
      <c r="B91" s="99">
        <v>33</v>
      </c>
      <c r="C91" s="84" t="s">
        <v>249</v>
      </c>
      <c r="D91" s="81" t="s">
        <v>383</v>
      </c>
      <c r="E91" s="69">
        <v>5</v>
      </c>
      <c r="F91" s="70" t="s">
        <v>375</v>
      </c>
      <c r="G91">
        <v>90</v>
      </c>
      <c r="H91" s="71">
        <v>2</v>
      </c>
      <c r="I91" s="71">
        <v>1</v>
      </c>
      <c r="J91" s="71">
        <f t="shared" si="1"/>
        <v>3</v>
      </c>
      <c r="K91" s="71"/>
      <c r="L91" s="100" t="s">
        <v>376</v>
      </c>
    </row>
    <row r="92" spans="1:12" ht="15" hidden="1" x14ac:dyDescent="0.25">
      <c r="A92" s="66" t="s">
        <v>242</v>
      </c>
      <c r="B92" s="99">
        <v>33</v>
      </c>
      <c r="C92" s="84" t="s">
        <v>249</v>
      </c>
      <c r="D92" s="81" t="s">
        <v>384</v>
      </c>
      <c r="E92" s="69">
        <v>2</v>
      </c>
      <c r="F92" s="70" t="s">
        <v>375</v>
      </c>
      <c r="G92">
        <v>91</v>
      </c>
      <c r="H92" s="71">
        <v>2</v>
      </c>
      <c r="I92" s="71">
        <v>1</v>
      </c>
      <c r="J92" s="71">
        <f t="shared" si="1"/>
        <v>3</v>
      </c>
      <c r="K92" s="71"/>
      <c r="L92" s="100" t="s">
        <v>376</v>
      </c>
    </row>
    <row r="93" spans="1:12" ht="15" hidden="1" x14ac:dyDescent="0.25">
      <c r="A93" s="66" t="s">
        <v>242</v>
      </c>
      <c r="B93" s="99">
        <v>33</v>
      </c>
      <c r="C93" s="84" t="s">
        <v>249</v>
      </c>
      <c r="D93" s="81" t="s">
        <v>385</v>
      </c>
      <c r="E93" s="69">
        <v>2</v>
      </c>
      <c r="F93" s="70" t="s">
        <v>375</v>
      </c>
      <c r="G93">
        <v>92</v>
      </c>
      <c r="H93" s="71">
        <v>2</v>
      </c>
      <c r="I93" s="71">
        <v>1</v>
      </c>
      <c r="J93" s="71">
        <f t="shared" si="1"/>
        <v>3</v>
      </c>
      <c r="K93" s="71"/>
      <c r="L93" s="100" t="s">
        <v>376</v>
      </c>
    </row>
    <row r="94" spans="1:12" ht="15" hidden="1" x14ac:dyDescent="0.25">
      <c r="A94" s="66" t="s">
        <v>242</v>
      </c>
      <c r="B94" s="99">
        <v>33</v>
      </c>
      <c r="C94" s="84" t="s">
        <v>249</v>
      </c>
      <c r="D94" s="81" t="s">
        <v>386</v>
      </c>
      <c r="E94" s="69">
        <v>2</v>
      </c>
      <c r="F94" s="70" t="s">
        <v>375</v>
      </c>
      <c r="G94">
        <v>93</v>
      </c>
      <c r="H94" s="71">
        <v>2</v>
      </c>
      <c r="I94" s="71">
        <v>1</v>
      </c>
      <c r="J94" s="71">
        <f t="shared" si="1"/>
        <v>3</v>
      </c>
      <c r="K94" s="71"/>
      <c r="L94" s="100" t="s">
        <v>376</v>
      </c>
    </row>
    <row r="95" spans="1:12" ht="15" hidden="1" x14ac:dyDescent="0.25">
      <c r="A95" s="66">
        <v>5</v>
      </c>
      <c r="B95" s="73">
        <v>36</v>
      </c>
      <c r="C95" s="84" t="s">
        <v>249</v>
      </c>
      <c r="D95" s="89" t="s">
        <v>387</v>
      </c>
      <c r="E95" s="90">
        <v>1</v>
      </c>
      <c r="F95" s="102" t="s">
        <v>375</v>
      </c>
      <c r="G95">
        <v>94</v>
      </c>
      <c r="H95" s="71">
        <v>2</v>
      </c>
      <c r="I95" s="71">
        <v>1</v>
      </c>
      <c r="J95" s="71">
        <f t="shared" si="1"/>
        <v>3</v>
      </c>
      <c r="K95" s="71"/>
      <c r="L95" s="100" t="s">
        <v>376</v>
      </c>
    </row>
    <row r="96" spans="1:12" ht="15" hidden="1" x14ac:dyDescent="0.25">
      <c r="A96" s="103" t="s">
        <v>242</v>
      </c>
      <c r="B96" s="73">
        <v>28</v>
      </c>
      <c r="C96" s="104" t="s">
        <v>249</v>
      </c>
      <c r="D96" s="105" t="s">
        <v>388</v>
      </c>
      <c r="E96" s="106">
        <v>8</v>
      </c>
      <c r="F96" s="102" t="s">
        <v>389</v>
      </c>
      <c r="G96">
        <v>95</v>
      </c>
      <c r="H96" s="71">
        <v>1</v>
      </c>
      <c r="I96" s="71">
        <v>1</v>
      </c>
      <c r="J96" s="71">
        <f t="shared" si="1"/>
        <v>2</v>
      </c>
      <c r="K96" s="71"/>
      <c r="L96" s="77" t="s">
        <v>253</v>
      </c>
    </row>
    <row r="97" spans="1:12" ht="15" hidden="1" x14ac:dyDescent="0.25">
      <c r="A97" s="103" t="s">
        <v>242</v>
      </c>
      <c r="B97" s="73">
        <v>28</v>
      </c>
      <c r="C97" s="104" t="s">
        <v>249</v>
      </c>
      <c r="D97" s="81" t="s">
        <v>390</v>
      </c>
      <c r="E97" s="69">
        <v>3</v>
      </c>
      <c r="F97" s="70" t="s">
        <v>389</v>
      </c>
      <c r="G97">
        <v>96</v>
      </c>
      <c r="H97" s="71">
        <v>1</v>
      </c>
      <c r="I97" s="71">
        <v>1</v>
      </c>
      <c r="J97" s="71">
        <f t="shared" si="1"/>
        <v>2</v>
      </c>
      <c r="K97" s="71"/>
      <c r="L97" s="77" t="s">
        <v>253</v>
      </c>
    </row>
    <row r="98" spans="1:12" ht="15" hidden="1" x14ac:dyDescent="0.25">
      <c r="A98" s="103" t="s">
        <v>242</v>
      </c>
      <c r="B98" s="73">
        <v>28</v>
      </c>
      <c r="C98" s="104" t="s">
        <v>249</v>
      </c>
      <c r="D98" s="81" t="s">
        <v>391</v>
      </c>
      <c r="E98" s="69">
        <v>4</v>
      </c>
      <c r="F98" s="70" t="s">
        <v>389</v>
      </c>
      <c r="G98">
        <v>97</v>
      </c>
      <c r="H98" s="71">
        <v>1</v>
      </c>
      <c r="I98" s="71">
        <v>1</v>
      </c>
      <c r="J98" s="71">
        <f t="shared" si="1"/>
        <v>2</v>
      </c>
      <c r="K98" s="71"/>
      <c r="L98" s="77" t="s">
        <v>253</v>
      </c>
    </row>
    <row r="99" spans="1:12" ht="15" hidden="1" x14ac:dyDescent="0.25">
      <c r="A99" s="103" t="s">
        <v>242</v>
      </c>
      <c r="B99" s="73">
        <v>28</v>
      </c>
      <c r="C99" s="104" t="s">
        <v>249</v>
      </c>
      <c r="D99" s="81" t="s">
        <v>392</v>
      </c>
      <c r="E99" s="69">
        <v>5</v>
      </c>
      <c r="F99" s="70" t="s">
        <v>389</v>
      </c>
      <c r="G99">
        <v>98</v>
      </c>
      <c r="H99" s="71">
        <v>1</v>
      </c>
      <c r="I99" s="71">
        <v>1</v>
      </c>
      <c r="J99" s="71">
        <f t="shared" si="1"/>
        <v>2</v>
      </c>
      <c r="K99" s="71"/>
      <c r="L99" s="77" t="s">
        <v>253</v>
      </c>
    </row>
    <row r="100" spans="1:12" ht="15" hidden="1" x14ac:dyDescent="0.25">
      <c r="A100" s="103" t="s">
        <v>242</v>
      </c>
      <c r="B100" s="73">
        <v>28</v>
      </c>
      <c r="C100" s="104" t="s">
        <v>249</v>
      </c>
      <c r="D100" s="81" t="s">
        <v>393</v>
      </c>
      <c r="E100" s="69">
        <v>1</v>
      </c>
      <c r="F100" s="70" t="s">
        <v>389</v>
      </c>
      <c r="G100">
        <v>99</v>
      </c>
      <c r="H100" s="71">
        <v>1</v>
      </c>
      <c r="I100" s="71">
        <v>1</v>
      </c>
      <c r="J100" s="71">
        <f t="shared" si="1"/>
        <v>2</v>
      </c>
      <c r="K100" s="71"/>
      <c r="L100" s="77" t="s">
        <v>253</v>
      </c>
    </row>
    <row r="101" spans="1:12" ht="15" hidden="1" x14ac:dyDescent="0.25">
      <c r="A101" s="103" t="s">
        <v>242</v>
      </c>
      <c r="B101" s="73">
        <v>28</v>
      </c>
      <c r="C101" s="104" t="s">
        <v>249</v>
      </c>
      <c r="D101" s="81" t="s">
        <v>394</v>
      </c>
      <c r="E101" s="69">
        <v>3</v>
      </c>
      <c r="F101" s="70" t="s">
        <v>389</v>
      </c>
      <c r="G101">
        <v>100</v>
      </c>
      <c r="H101" s="71">
        <v>1</v>
      </c>
      <c r="I101" s="71">
        <v>1</v>
      </c>
      <c r="J101" s="71">
        <f t="shared" si="1"/>
        <v>2</v>
      </c>
      <c r="K101" s="71"/>
      <c r="L101" s="77" t="s">
        <v>253</v>
      </c>
    </row>
    <row r="102" spans="1:12" ht="15" hidden="1" x14ac:dyDescent="0.25">
      <c r="A102" s="103" t="s">
        <v>242</v>
      </c>
      <c r="B102" s="73">
        <v>28</v>
      </c>
      <c r="C102" s="104" t="s">
        <v>249</v>
      </c>
      <c r="D102" s="81" t="s">
        <v>395</v>
      </c>
      <c r="E102" s="69">
        <v>1</v>
      </c>
      <c r="F102" s="70" t="s">
        <v>389</v>
      </c>
      <c r="G102">
        <v>101</v>
      </c>
      <c r="H102" s="71">
        <v>1</v>
      </c>
      <c r="I102" s="71">
        <v>1</v>
      </c>
      <c r="J102" s="71">
        <f t="shared" si="1"/>
        <v>2</v>
      </c>
      <c r="K102" s="71"/>
      <c r="L102" s="77" t="s">
        <v>253</v>
      </c>
    </row>
    <row r="103" spans="1:12" ht="15" hidden="1" x14ac:dyDescent="0.25">
      <c r="A103" s="103" t="s">
        <v>242</v>
      </c>
      <c r="B103" s="73">
        <v>28</v>
      </c>
      <c r="C103" s="104" t="s">
        <v>249</v>
      </c>
      <c r="D103" s="81" t="s">
        <v>396</v>
      </c>
      <c r="E103" s="69">
        <v>1</v>
      </c>
      <c r="F103" s="70" t="s">
        <v>389</v>
      </c>
      <c r="G103">
        <v>102</v>
      </c>
      <c r="H103" s="71">
        <v>1</v>
      </c>
      <c r="I103" s="71">
        <v>1</v>
      </c>
      <c r="J103" s="71">
        <f t="shared" si="1"/>
        <v>2</v>
      </c>
      <c r="K103" s="71"/>
      <c r="L103" s="77" t="s">
        <v>253</v>
      </c>
    </row>
    <row r="104" spans="1:12" ht="15" hidden="1" x14ac:dyDescent="0.25">
      <c r="A104" s="103" t="s">
        <v>242</v>
      </c>
      <c r="B104" s="73">
        <v>28</v>
      </c>
      <c r="C104" s="104" t="s">
        <v>249</v>
      </c>
      <c r="D104" s="81" t="s">
        <v>397</v>
      </c>
      <c r="E104" s="69">
        <v>2</v>
      </c>
      <c r="F104" s="70" t="s">
        <v>389</v>
      </c>
      <c r="G104">
        <v>103</v>
      </c>
      <c r="H104" s="71">
        <v>1</v>
      </c>
      <c r="I104" s="71">
        <v>1</v>
      </c>
      <c r="J104" s="71">
        <f t="shared" si="1"/>
        <v>2</v>
      </c>
      <c r="K104" s="71"/>
      <c r="L104" s="77" t="s">
        <v>253</v>
      </c>
    </row>
    <row r="105" spans="1:12" ht="15" hidden="1" x14ac:dyDescent="0.25">
      <c r="A105" s="103" t="s">
        <v>242</v>
      </c>
      <c r="B105" s="73">
        <v>28</v>
      </c>
      <c r="C105" s="104" t="s">
        <v>249</v>
      </c>
      <c r="D105" s="81" t="s">
        <v>398</v>
      </c>
      <c r="E105" s="69">
        <v>1</v>
      </c>
      <c r="F105" s="70" t="s">
        <v>389</v>
      </c>
      <c r="G105">
        <v>104</v>
      </c>
      <c r="H105" s="71">
        <v>1</v>
      </c>
      <c r="I105" s="71">
        <v>1</v>
      </c>
      <c r="J105" s="71">
        <f t="shared" si="1"/>
        <v>2</v>
      </c>
      <c r="K105" s="71"/>
      <c r="L105" s="77" t="s">
        <v>253</v>
      </c>
    </row>
    <row r="106" spans="1:12" ht="38.25" hidden="1" x14ac:dyDescent="0.25">
      <c r="A106" s="103">
        <v>5</v>
      </c>
      <c r="B106" s="73">
        <v>29</v>
      </c>
      <c r="C106" s="104" t="s">
        <v>329</v>
      </c>
      <c r="D106" s="107" t="s">
        <v>399</v>
      </c>
      <c r="E106" s="69">
        <v>1</v>
      </c>
      <c r="F106" s="70" t="s">
        <v>389</v>
      </c>
      <c r="G106">
        <v>105</v>
      </c>
      <c r="H106" s="71">
        <v>1</v>
      </c>
      <c r="I106" s="71">
        <v>1</v>
      </c>
      <c r="J106" s="71">
        <f t="shared" si="1"/>
        <v>2</v>
      </c>
      <c r="K106" s="71"/>
      <c r="L106" s="77" t="s">
        <v>253</v>
      </c>
    </row>
    <row r="107" spans="1:12" ht="15" hidden="1" x14ac:dyDescent="0.25">
      <c r="A107" s="103" t="s">
        <v>242</v>
      </c>
      <c r="B107" s="73">
        <v>31</v>
      </c>
      <c r="C107" s="104" t="s">
        <v>249</v>
      </c>
      <c r="D107" s="81" t="s">
        <v>400</v>
      </c>
      <c r="E107" s="69">
        <v>10</v>
      </c>
      <c r="F107" s="70" t="s">
        <v>389</v>
      </c>
      <c r="G107">
        <v>106</v>
      </c>
      <c r="H107" s="71">
        <v>1</v>
      </c>
      <c r="I107" s="71">
        <v>1</v>
      </c>
      <c r="J107" s="71">
        <f t="shared" si="1"/>
        <v>2</v>
      </c>
      <c r="K107" s="71"/>
      <c r="L107" s="77" t="s">
        <v>253</v>
      </c>
    </row>
    <row r="108" spans="1:12" ht="15" hidden="1" x14ac:dyDescent="0.25">
      <c r="A108" s="103" t="s">
        <v>242</v>
      </c>
      <c r="B108" s="73">
        <v>31</v>
      </c>
      <c r="C108" s="104" t="s">
        <v>249</v>
      </c>
      <c r="D108" s="81" t="s">
        <v>401</v>
      </c>
      <c r="E108" s="69">
        <v>2</v>
      </c>
      <c r="F108" s="70" t="s">
        <v>389</v>
      </c>
      <c r="G108">
        <v>107</v>
      </c>
      <c r="H108" s="71">
        <v>1</v>
      </c>
      <c r="I108" s="71">
        <v>1</v>
      </c>
      <c r="J108" s="71">
        <f t="shared" si="1"/>
        <v>2</v>
      </c>
      <c r="K108" s="71"/>
      <c r="L108" s="77" t="s">
        <v>253</v>
      </c>
    </row>
    <row r="109" spans="1:12" ht="15" hidden="1" x14ac:dyDescent="0.25">
      <c r="A109" s="103" t="s">
        <v>242</v>
      </c>
      <c r="B109" s="73">
        <v>31</v>
      </c>
      <c r="C109" s="104" t="s">
        <v>249</v>
      </c>
      <c r="D109" s="81" t="s">
        <v>402</v>
      </c>
      <c r="E109" s="69">
        <v>1</v>
      </c>
      <c r="F109" s="70" t="s">
        <v>389</v>
      </c>
      <c r="G109">
        <v>108</v>
      </c>
      <c r="H109" s="71">
        <v>1</v>
      </c>
      <c r="I109" s="71">
        <v>1</v>
      </c>
      <c r="J109" s="71">
        <f t="shared" si="1"/>
        <v>2</v>
      </c>
      <c r="K109" s="71"/>
      <c r="L109" s="77" t="s">
        <v>253</v>
      </c>
    </row>
    <row r="110" spans="1:12" ht="15" hidden="1" x14ac:dyDescent="0.25">
      <c r="A110" s="108" t="s">
        <v>242</v>
      </c>
      <c r="B110" s="99">
        <v>31</v>
      </c>
      <c r="C110" s="109" t="s">
        <v>249</v>
      </c>
      <c r="D110" s="110" t="s">
        <v>403</v>
      </c>
      <c r="E110" s="111">
        <v>1</v>
      </c>
      <c r="F110" s="112" t="s">
        <v>389</v>
      </c>
      <c r="G110">
        <v>109</v>
      </c>
      <c r="H110" s="71">
        <v>1</v>
      </c>
      <c r="I110" s="71">
        <v>1</v>
      </c>
      <c r="J110" s="71">
        <f t="shared" si="1"/>
        <v>2</v>
      </c>
      <c r="K110" s="113"/>
      <c r="L110" s="77" t="s">
        <v>253</v>
      </c>
    </row>
    <row r="111" spans="1:12" ht="15" hidden="1" x14ac:dyDescent="0.25">
      <c r="A111" s="103" t="s">
        <v>242</v>
      </c>
      <c r="B111" s="73">
        <v>31</v>
      </c>
      <c r="C111" s="104" t="s">
        <v>249</v>
      </c>
      <c r="D111" s="81" t="s">
        <v>404</v>
      </c>
      <c r="E111" s="69">
        <v>5</v>
      </c>
      <c r="F111" s="70" t="s">
        <v>389</v>
      </c>
      <c r="G111">
        <v>110</v>
      </c>
      <c r="H111" s="71">
        <v>1</v>
      </c>
      <c r="I111" s="71">
        <v>1</v>
      </c>
      <c r="J111" s="71">
        <f t="shared" si="1"/>
        <v>2</v>
      </c>
      <c r="K111" s="71"/>
      <c r="L111" s="77" t="s">
        <v>253</v>
      </c>
    </row>
    <row r="112" spans="1:12" ht="15" hidden="1" x14ac:dyDescent="0.25">
      <c r="A112" s="103" t="s">
        <v>242</v>
      </c>
      <c r="B112" s="73">
        <v>32</v>
      </c>
      <c r="C112" s="104" t="s">
        <v>249</v>
      </c>
      <c r="D112" s="81" t="s">
        <v>405</v>
      </c>
      <c r="E112" s="69">
        <v>2</v>
      </c>
      <c r="F112" s="70" t="s">
        <v>389</v>
      </c>
      <c r="G112">
        <v>111</v>
      </c>
      <c r="H112" s="71">
        <v>1</v>
      </c>
      <c r="I112" s="71">
        <v>1</v>
      </c>
      <c r="J112" s="71">
        <f t="shared" si="1"/>
        <v>2</v>
      </c>
      <c r="K112" s="71"/>
      <c r="L112" s="77" t="s">
        <v>253</v>
      </c>
    </row>
    <row r="113" spans="1:12" ht="15" hidden="1" x14ac:dyDescent="0.25">
      <c r="A113" s="103" t="s">
        <v>242</v>
      </c>
      <c r="B113" s="73">
        <v>32</v>
      </c>
      <c r="C113" s="104" t="s">
        <v>249</v>
      </c>
      <c r="D113" s="81" t="s">
        <v>406</v>
      </c>
      <c r="E113" s="69">
        <v>2</v>
      </c>
      <c r="F113" s="70" t="s">
        <v>389</v>
      </c>
      <c r="G113">
        <v>112</v>
      </c>
      <c r="H113" s="71">
        <v>1</v>
      </c>
      <c r="I113" s="71">
        <v>1</v>
      </c>
      <c r="J113" s="71">
        <f t="shared" si="1"/>
        <v>2</v>
      </c>
      <c r="K113" s="71"/>
      <c r="L113" s="77" t="s">
        <v>253</v>
      </c>
    </row>
    <row r="114" spans="1:12" ht="15" hidden="1" x14ac:dyDescent="0.25">
      <c r="A114" s="103" t="s">
        <v>242</v>
      </c>
      <c r="B114" s="73">
        <v>32</v>
      </c>
      <c r="C114" s="104" t="s">
        <v>249</v>
      </c>
      <c r="D114" s="81" t="s">
        <v>407</v>
      </c>
      <c r="E114" s="69">
        <v>2</v>
      </c>
      <c r="F114" s="70" t="s">
        <v>389</v>
      </c>
      <c r="G114">
        <v>113</v>
      </c>
      <c r="H114" s="71">
        <v>1</v>
      </c>
      <c r="I114" s="71">
        <v>1</v>
      </c>
      <c r="J114" s="71">
        <f t="shared" si="1"/>
        <v>2</v>
      </c>
      <c r="K114" s="71"/>
      <c r="L114" s="77" t="s">
        <v>253</v>
      </c>
    </row>
    <row r="115" spans="1:12" ht="15" hidden="1" x14ac:dyDescent="0.25">
      <c r="A115" s="103" t="s">
        <v>242</v>
      </c>
      <c r="B115" s="73">
        <v>32</v>
      </c>
      <c r="C115" s="104" t="s">
        <v>249</v>
      </c>
      <c r="D115" s="81" t="s">
        <v>408</v>
      </c>
      <c r="E115" s="69">
        <v>2</v>
      </c>
      <c r="F115" s="70" t="s">
        <v>389</v>
      </c>
      <c r="G115">
        <v>114</v>
      </c>
      <c r="H115" s="71">
        <v>1</v>
      </c>
      <c r="I115" s="71">
        <v>1</v>
      </c>
      <c r="J115" s="71">
        <f t="shared" si="1"/>
        <v>2</v>
      </c>
      <c r="K115" s="71"/>
      <c r="L115" s="77" t="s">
        <v>253</v>
      </c>
    </row>
    <row r="116" spans="1:12" ht="15" hidden="1" x14ac:dyDescent="0.25">
      <c r="A116" s="103" t="s">
        <v>242</v>
      </c>
      <c r="B116" s="73">
        <v>32</v>
      </c>
      <c r="C116" s="104" t="s">
        <v>249</v>
      </c>
      <c r="D116" s="81" t="s">
        <v>409</v>
      </c>
      <c r="E116" s="69">
        <v>2</v>
      </c>
      <c r="F116" s="70" t="s">
        <v>389</v>
      </c>
      <c r="G116">
        <v>115</v>
      </c>
      <c r="H116" s="71">
        <v>1</v>
      </c>
      <c r="I116" s="71">
        <v>1</v>
      </c>
      <c r="J116" s="71">
        <f t="shared" si="1"/>
        <v>2</v>
      </c>
      <c r="K116" s="71"/>
      <c r="L116" s="77" t="s">
        <v>253</v>
      </c>
    </row>
    <row r="117" spans="1:12" ht="15" hidden="1" x14ac:dyDescent="0.25">
      <c r="A117" s="103" t="s">
        <v>242</v>
      </c>
      <c r="B117" s="73">
        <v>32</v>
      </c>
      <c r="C117" s="104" t="s">
        <v>249</v>
      </c>
      <c r="D117" s="81" t="s">
        <v>410</v>
      </c>
      <c r="E117" s="69">
        <v>2</v>
      </c>
      <c r="F117" s="70" t="s">
        <v>389</v>
      </c>
      <c r="G117">
        <v>116</v>
      </c>
      <c r="H117" s="71">
        <v>1</v>
      </c>
      <c r="I117" s="71">
        <v>1</v>
      </c>
      <c r="J117" s="71">
        <f t="shared" si="1"/>
        <v>2</v>
      </c>
      <c r="K117" s="71"/>
      <c r="L117" s="77" t="s">
        <v>253</v>
      </c>
    </row>
    <row r="118" spans="1:12" ht="15" hidden="1" x14ac:dyDescent="0.25">
      <c r="A118" s="103" t="s">
        <v>242</v>
      </c>
      <c r="B118" s="73">
        <v>32</v>
      </c>
      <c r="C118" s="84" t="s">
        <v>249</v>
      </c>
      <c r="D118" s="81" t="s">
        <v>411</v>
      </c>
      <c r="E118" s="69">
        <v>2</v>
      </c>
      <c r="F118" s="70" t="s">
        <v>389</v>
      </c>
      <c r="G118">
        <v>117</v>
      </c>
      <c r="H118" s="71">
        <v>1</v>
      </c>
      <c r="I118" s="71">
        <v>1</v>
      </c>
      <c r="J118" s="71">
        <f t="shared" si="1"/>
        <v>2</v>
      </c>
      <c r="K118" s="71"/>
      <c r="L118" s="77" t="s">
        <v>253</v>
      </c>
    </row>
    <row r="119" spans="1:12" ht="15" hidden="1" x14ac:dyDescent="0.25">
      <c r="A119" s="103" t="s">
        <v>242</v>
      </c>
      <c r="B119" s="73">
        <v>32</v>
      </c>
      <c r="C119" s="84" t="s">
        <v>249</v>
      </c>
      <c r="D119" s="81" t="s">
        <v>412</v>
      </c>
      <c r="E119" s="69">
        <v>2</v>
      </c>
      <c r="F119" s="70" t="s">
        <v>389</v>
      </c>
      <c r="G119">
        <v>118</v>
      </c>
      <c r="H119" s="71">
        <v>1</v>
      </c>
      <c r="I119" s="71">
        <v>1</v>
      </c>
      <c r="J119" s="71">
        <f t="shared" si="1"/>
        <v>2</v>
      </c>
      <c r="K119" s="71"/>
      <c r="L119" s="77" t="s">
        <v>253</v>
      </c>
    </row>
    <row r="120" spans="1:12" ht="15" hidden="1" x14ac:dyDescent="0.25">
      <c r="A120" s="103">
        <v>5</v>
      </c>
      <c r="B120" s="73">
        <v>30</v>
      </c>
      <c r="C120" s="84" t="s">
        <v>249</v>
      </c>
      <c r="D120" s="89" t="s">
        <v>413</v>
      </c>
      <c r="E120" s="90">
        <v>1</v>
      </c>
      <c r="F120" s="70" t="s">
        <v>414</v>
      </c>
      <c r="G120">
        <v>119</v>
      </c>
      <c r="H120" s="71">
        <v>0</v>
      </c>
      <c r="I120" s="71">
        <v>1</v>
      </c>
      <c r="J120" s="71">
        <f t="shared" si="1"/>
        <v>1</v>
      </c>
      <c r="K120" s="71"/>
      <c r="L120" s="77" t="s">
        <v>253</v>
      </c>
    </row>
    <row r="121" spans="1:12" ht="15" hidden="1" x14ac:dyDescent="0.25">
      <c r="A121" s="103" t="s">
        <v>242</v>
      </c>
      <c r="B121" s="73">
        <v>33</v>
      </c>
      <c r="C121" s="84" t="s">
        <v>249</v>
      </c>
      <c r="D121" s="89" t="s">
        <v>415</v>
      </c>
      <c r="E121" s="90">
        <v>1</v>
      </c>
      <c r="F121" s="70" t="s">
        <v>414</v>
      </c>
      <c r="G121">
        <v>120</v>
      </c>
      <c r="H121" s="71">
        <v>0</v>
      </c>
      <c r="I121" s="71">
        <v>1</v>
      </c>
      <c r="J121" s="71">
        <f t="shared" si="1"/>
        <v>1</v>
      </c>
      <c r="K121" s="71"/>
      <c r="L121" s="77" t="s">
        <v>253</v>
      </c>
    </row>
    <row r="128" spans="1:12" s="44" customFormat="1" ht="21.6" customHeight="1" x14ac:dyDescent="0.25">
      <c r="B128" s="37"/>
      <c r="C128" s="37"/>
      <c r="D128"/>
      <c r="E128"/>
      <c r="F128" s="37"/>
      <c r="G128"/>
      <c r="H128"/>
      <c r="I128"/>
      <c r="J128"/>
      <c r="K128"/>
      <c r="L128" s="114"/>
    </row>
    <row r="130" spans="2:12" s="44" customFormat="1" ht="21.6" customHeight="1" x14ac:dyDescent="0.25">
      <c r="B130" s="37"/>
      <c r="C130" s="37"/>
      <c r="D130"/>
      <c r="E130"/>
      <c r="F130" s="37"/>
      <c r="G130"/>
      <c r="H130"/>
      <c r="I130"/>
      <c r="J130"/>
      <c r="K130"/>
      <c r="L130" s="114"/>
    </row>
  </sheetData>
  <autoFilter ref="A1:L121">
    <filterColumn colId="5">
      <filters>
        <filter val="Kewei, China"/>
      </filters>
    </filterColumn>
    <filterColumn colId="11">
      <filters>
        <filter val="ON HOLD"/>
        <filter val="Under Finalisation"/>
      </filters>
    </filterColumn>
    <sortState ref="A2:M121">
      <sortCondition descending="1" ref="J1:J121"/>
    </sortState>
  </autoFilter>
  <pageMargins left="0.7" right="0.7" top="0.75" bottom="0.75" header="0.3" footer="0.3"/>
  <pageSetup scale="4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election activeCell="D33" sqref="D33"/>
    </sheetView>
  </sheetViews>
  <sheetFormatPr defaultRowHeight="15" x14ac:dyDescent="0.25"/>
  <sheetData>
    <row r="1" spans="1:17" ht="15.75" thickBot="1" x14ac:dyDescent="0.3">
      <c r="A1" s="47"/>
      <c r="B1" s="48"/>
      <c r="C1" s="48"/>
      <c r="D1" s="48"/>
      <c r="E1" s="48"/>
      <c r="F1" s="48"/>
      <c r="G1" s="48"/>
      <c r="H1" s="48"/>
      <c r="I1" s="48"/>
      <c r="J1" s="48"/>
      <c r="K1" s="48"/>
      <c r="L1" s="48"/>
      <c r="M1" s="48"/>
      <c r="N1" s="48"/>
      <c r="O1" s="48"/>
      <c r="P1" s="48"/>
      <c r="Q1" s="49"/>
    </row>
    <row r="2" spans="1:17" x14ac:dyDescent="0.25">
      <c r="A2" s="50"/>
      <c r="B2" s="51"/>
      <c r="C2" s="51"/>
      <c r="D2" s="51"/>
      <c r="E2" s="51"/>
      <c r="F2" s="51"/>
      <c r="G2" s="51"/>
      <c r="H2" s="51"/>
      <c r="I2" s="52" t="s">
        <v>230</v>
      </c>
      <c r="J2" s="53"/>
      <c r="K2" s="53"/>
      <c r="L2" s="53"/>
      <c r="M2" s="53"/>
      <c r="N2" s="53"/>
      <c r="O2" s="54"/>
      <c r="P2" s="51"/>
      <c r="Q2" s="55"/>
    </row>
    <row r="3" spans="1:17" ht="15.75" thickBot="1" x14ac:dyDescent="0.3">
      <c r="A3" s="50"/>
      <c r="B3" s="51"/>
      <c r="C3" s="51"/>
      <c r="D3" s="51"/>
      <c r="E3" s="51"/>
      <c r="F3" s="51"/>
      <c r="G3" s="51"/>
      <c r="H3" s="51"/>
      <c r="I3" s="56"/>
      <c r="J3" s="57"/>
      <c r="K3" s="57"/>
      <c r="L3" s="57"/>
      <c r="M3" s="57"/>
      <c r="N3" s="57"/>
      <c r="O3" s="58"/>
      <c r="P3" s="51"/>
      <c r="Q3" s="55"/>
    </row>
    <row r="4" spans="1:17" x14ac:dyDescent="0.25">
      <c r="A4" s="50"/>
      <c r="B4" s="51"/>
      <c r="C4" s="51"/>
      <c r="D4" s="51"/>
      <c r="E4" s="51"/>
      <c r="F4" s="51"/>
      <c r="G4" s="51"/>
      <c r="H4" s="51"/>
      <c r="I4" s="51"/>
      <c r="J4" s="51"/>
      <c r="K4" s="51"/>
      <c r="L4" s="51"/>
      <c r="M4" s="51"/>
      <c r="N4" s="51"/>
      <c r="O4" s="51"/>
      <c r="P4" s="51"/>
      <c r="Q4" s="55"/>
    </row>
    <row r="5" spans="1:17" x14ac:dyDescent="0.25">
      <c r="A5" s="50"/>
      <c r="B5" s="51"/>
      <c r="C5" s="51"/>
      <c r="D5" s="51"/>
      <c r="E5" s="51"/>
      <c r="F5" s="51"/>
      <c r="G5" s="51"/>
      <c r="H5" s="51"/>
      <c r="I5" s="51"/>
      <c r="J5" s="51"/>
      <c r="K5" s="51"/>
      <c r="L5" s="51"/>
      <c r="M5" s="51"/>
      <c r="N5" s="51"/>
      <c r="O5" s="51"/>
      <c r="P5" s="51"/>
      <c r="Q5" s="55"/>
    </row>
    <row r="6" spans="1:17" x14ac:dyDescent="0.25">
      <c r="A6" s="50"/>
      <c r="B6" s="51"/>
      <c r="C6" s="51"/>
      <c r="D6" s="51"/>
      <c r="E6" s="51"/>
      <c r="F6" s="51"/>
      <c r="G6" s="51"/>
      <c r="H6" s="51"/>
      <c r="I6" s="51"/>
      <c r="J6" s="51"/>
      <c r="K6" s="51"/>
      <c r="L6" s="51"/>
      <c r="M6" s="51"/>
      <c r="N6" s="51"/>
      <c r="O6" s="51"/>
      <c r="P6" s="51"/>
      <c r="Q6" s="55"/>
    </row>
    <row r="7" spans="1:17" x14ac:dyDescent="0.25">
      <c r="A7" s="50"/>
      <c r="B7" s="51"/>
      <c r="C7" s="51"/>
      <c r="D7" s="51"/>
      <c r="E7" s="51"/>
      <c r="F7" s="51"/>
      <c r="G7" s="51"/>
      <c r="H7" s="51"/>
      <c r="I7" s="51"/>
      <c r="J7" s="51"/>
      <c r="K7" s="51"/>
      <c r="L7" s="51"/>
      <c r="M7" s="51"/>
      <c r="N7" s="51"/>
      <c r="O7" s="51"/>
      <c r="P7" s="51"/>
      <c r="Q7" s="55"/>
    </row>
    <row r="8" spans="1:17" x14ac:dyDescent="0.25">
      <c r="A8" s="50"/>
      <c r="B8" s="51"/>
      <c r="C8" s="51"/>
      <c r="D8" s="51"/>
      <c r="E8" s="51"/>
      <c r="F8" s="51"/>
      <c r="G8" s="51"/>
      <c r="H8" s="51"/>
      <c r="I8" s="51"/>
      <c r="J8" s="51"/>
      <c r="K8" s="51"/>
      <c r="L8" s="51"/>
      <c r="M8" s="51"/>
      <c r="N8" s="51"/>
      <c r="O8" s="51"/>
      <c r="P8" s="51"/>
      <c r="Q8" s="55"/>
    </row>
    <row r="9" spans="1:17" x14ac:dyDescent="0.25">
      <c r="A9" s="50"/>
      <c r="B9" s="51"/>
      <c r="C9" s="51"/>
      <c r="D9" s="51"/>
      <c r="E9" s="51"/>
      <c r="F9" s="51"/>
      <c r="G9" s="51"/>
      <c r="H9" s="51"/>
      <c r="I9" s="51"/>
      <c r="J9" s="51"/>
      <c r="K9" s="51"/>
      <c r="L9" s="51"/>
      <c r="M9" s="51"/>
      <c r="N9" s="51"/>
      <c r="O9" s="51"/>
      <c r="P9" s="51"/>
      <c r="Q9" s="55"/>
    </row>
    <row r="10" spans="1:17" x14ac:dyDescent="0.25">
      <c r="A10" s="50"/>
      <c r="B10" s="51"/>
      <c r="C10" s="51"/>
      <c r="D10" s="51"/>
      <c r="E10" s="51"/>
      <c r="F10" s="51"/>
      <c r="G10" s="51"/>
      <c r="H10" s="51"/>
      <c r="I10" s="51"/>
      <c r="J10" s="51"/>
      <c r="K10" s="51"/>
      <c r="L10" s="51"/>
      <c r="M10" s="51"/>
      <c r="N10" s="51"/>
      <c r="O10" s="51"/>
      <c r="P10" s="51"/>
      <c r="Q10" s="55"/>
    </row>
    <row r="11" spans="1:17" x14ac:dyDescent="0.25">
      <c r="A11" s="50"/>
      <c r="B11" s="51"/>
      <c r="C11" s="51"/>
      <c r="D11" s="51"/>
      <c r="E11" s="51"/>
      <c r="F11" s="51"/>
      <c r="G11" s="51"/>
      <c r="H11" s="51"/>
      <c r="I11" s="51"/>
      <c r="J11" s="51"/>
      <c r="K11" s="51"/>
      <c r="L11" s="51"/>
      <c r="M11" s="51"/>
      <c r="N11" s="51"/>
      <c r="O11" s="51"/>
      <c r="P11" s="51"/>
      <c r="Q11" s="55"/>
    </row>
    <row r="12" spans="1:17" x14ac:dyDescent="0.25">
      <c r="A12" s="50"/>
      <c r="B12" s="51"/>
      <c r="C12" s="51"/>
      <c r="D12" s="51"/>
      <c r="E12" s="51"/>
      <c r="F12" s="51"/>
      <c r="G12" s="51"/>
      <c r="H12" s="51"/>
      <c r="I12" s="51"/>
      <c r="J12" s="51"/>
      <c r="K12" s="51"/>
      <c r="L12" s="51"/>
      <c r="M12" s="51"/>
      <c r="N12" s="51"/>
      <c r="O12" s="51"/>
      <c r="P12" s="51"/>
      <c r="Q12" s="55"/>
    </row>
    <row r="13" spans="1:17" x14ac:dyDescent="0.25">
      <c r="A13" s="50"/>
      <c r="B13" s="51"/>
      <c r="C13" s="51"/>
      <c r="D13" s="51"/>
      <c r="E13" s="51"/>
      <c r="F13" s="51"/>
      <c r="G13" s="51"/>
      <c r="H13" s="51"/>
      <c r="I13" s="51"/>
      <c r="J13" s="51"/>
      <c r="K13" s="51"/>
      <c r="L13" s="51"/>
      <c r="M13" s="51"/>
      <c r="N13" s="51"/>
      <c r="O13" s="51"/>
      <c r="P13" s="51"/>
      <c r="Q13" s="55"/>
    </row>
    <row r="14" spans="1:17" x14ac:dyDescent="0.25">
      <c r="A14" s="50"/>
      <c r="B14" s="51"/>
      <c r="C14" s="51"/>
      <c r="D14" s="51"/>
      <c r="E14" s="51"/>
      <c r="F14" s="51"/>
      <c r="G14" s="51"/>
      <c r="H14" s="51"/>
      <c r="I14" s="51"/>
      <c r="J14" s="51"/>
      <c r="K14" s="51"/>
      <c r="L14" s="51"/>
      <c r="M14" s="51"/>
      <c r="N14" s="51"/>
      <c r="O14" s="51"/>
      <c r="P14" s="51"/>
      <c r="Q14" s="55"/>
    </row>
    <row r="15" spans="1:17" x14ac:dyDescent="0.25">
      <c r="A15" s="50"/>
      <c r="B15" s="51"/>
      <c r="C15" s="51"/>
      <c r="D15" s="51"/>
      <c r="E15" s="51"/>
      <c r="F15" s="51"/>
      <c r="G15" s="51"/>
      <c r="H15" s="51"/>
      <c r="I15" s="51"/>
      <c r="J15" s="51"/>
      <c r="K15" s="51"/>
      <c r="L15" s="51"/>
      <c r="M15" s="51"/>
      <c r="N15" s="51"/>
      <c r="O15" s="51"/>
      <c r="P15" s="51"/>
      <c r="Q15" s="55"/>
    </row>
    <row r="16" spans="1:17" x14ac:dyDescent="0.25">
      <c r="A16" s="50"/>
      <c r="B16" s="51"/>
      <c r="C16" s="51"/>
      <c r="D16" s="51"/>
      <c r="E16" s="51"/>
      <c r="F16" s="51"/>
      <c r="G16" s="51"/>
      <c r="H16" s="51"/>
      <c r="I16" s="51"/>
      <c r="J16" s="51"/>
      <c r="K16" s="51"/>
      <c r="L16" s="51"/>
      <c r="M16" s="51"/>
      <c r="N16" s="51"/>
      <c r="O16" s="51"/>
      <c r="P16" s="51"/>
      <c r="Q16" s="55"/>
    </row>
    <row r="17" spans="1:17" x14ac:dyDescent="0.25">
      <c r="A17" s="50"/>
      <c r="B17" s="51"/>
      <c r="C17" s="51"/>
      <c r="D17" s="51"/>
      <c r="E17" s="51"/>
      <c r="F17" s="51"/>
      <c r="G17" s="51"/>
      <c r="H17" s="51"/>
      <c r="I17" s="51"/>
      <c r="J17" s="51"/>
      <c r="K17" s="51"/>
      <c r="L17" s="51"/>
      <c r="M17" s="51"/>
      <c r="N17" s="51"/>
      <c r="O17" s="51"/>
      <c r="P17" s="51"/>
      <c r="Q17" s="55"/>
    </row>
    <row r="18" spans="1:17" x14ac:dyDescent="0.25">
      <c r="A18" s="50"/>
      <c r="B18" s="51"/>
      <c r="C18" s="51"/>
      <c r="D18" s="51"/>
      <c r="E18" s="51"/>
      <c r="F18" s="51"/>
      <c r="G18" s="51"/>
      <c r="H18" s="51"/>
      <c r="I18" s="51"/>
      <c r="J18" s="51"/>
      <c r="K18" s="51"/>
      <c r="L18" s="51"/>
      <c r="M18" s="51"/>
      <c r="N18" s="51"/>
      <c r="O18" s="51"/>
      <c r="P18" s="51"/>
      <c r="Q18" s="55"/>
    </row>
    <row r="19" spans="1:17" x14ac:dyDescent="0.25">
      <c r="A19" s="50"/>
      <c r="B19" s="51"/>
      <c r="C19" s="51"/>
      <c r="D19" s="51"/>
      <c r="E19" s="51"/>
      <c r="F19" s="51"/>
      <c r="G19" s="51"/>
      <c r="H19" s="51"/>
      <c r="I19" s="51"/>
      <c r="J19" s="51"/>
      <c r="K19" s="51"/>
      <c r="L19" s="51"/>
      <c r="M19" s="51"/>
      <c r="N19" s="51"/>
      <c r="O19" s="51"/>
      <c r="P19" s="51"/>
      <c r="Q19" s="55"/>
    </row>
    <row r="20" spans="1:17" x14ac:dyDescent="0.25">
      <c r="A20" s="50"/>
      <c r="B20" s="51"/>
      <c r="C20" s="51"/>
      <c r="D20" s="51"/>
      <c r="E20" s="51"/>
      <c r="F20" s="51"/>
      <c r="G20" s="51"/>
      <c r="H20" s="51"/>
      <c r="I20" s="51"/>
      <c r="J20" s="51"/>
      <c r="K20" s="51"/>
      <c r="L20" s="51"/>
      <c r="M20" s="51"/>
      <c r="N20" s="51"/>
      <c r="O20" s="51"/>
      <c r="P20" s="51"/>
      <c r="Q20" s="55"/>
    </row>
    <row r="21" spans="1:17" x14ac:dyDescent="0.25">
      <c r="A21" s="50"/>
      <c r="B21" s="51"/>
      <c r="C21" s="51"/>
      <c r="D21" s="51"/>
      <c r="E21" s="51"/>
      <c r="F21" s="51"/>
      <c r="G21" s="51"/>
      <c r="H21" s="51"/>
      <c r="I21" s="51"/>
      <c r="J21" s="51"/>
      <c r="K21" s="51"/>
      <c r="L21" s="51"/>
      <c r="M21" s="51"/>
      <c r="N21" s="51"/>
      <c r="O21" s="51"/>
      <c r="P21" s="51"/>
      <c r="Q21" s="55"/>
    </row>
    <row r="22" spans="1:17" x14ac:dyDescent="0.25">
      <c r="A22" s="50"/>
      <c r="B22" s="51"/>
      <c r="C22" s="51"/>
      <c r="D22" s="51"/>
      <c r="E22" s="51"/>
      <c r="F22" s="51"/>
      <c r="G22" s="51"/>
      <c r="H22" s="51"/>
      <c r="I22" s="51"/>
      <c r="J22" s="51"/>
      <c r="K22" s="51"/>
      <c r="L22" s="51"/>
      <c r="M22" s="51"/>
      <c r="N22" s="51"/>
      <c r="O22" s="51"/>
      <c r="P22" s="51"/>
      <c r="Q22" s="55"/>
    </row>
    <row r="23" spans="1:17" x14ac:dyDescent="0.25">
      <c r="A23" s="50"/>
      <c r="B23" s="51"/>
      <c r="C23" s="51"/>
      <c r="D23" s="51"/>
      <c r="E23" s="51"/>
      <c r="F23" s="51"/>
      <c r="G23" s="51"/>
      <c r="H23" s="51"/>
      <c r="I23" s="51"/>
      <c r="J23" s="51"/>
      <c r="K23" s="51"/>
      <c r="L23" s="51"/>
      <c r="M23" s="51"/>
      <c r="N23" s="51"/>
      <c r="O23" s="51"/>
      <c r="P23" s="51"/>
      <c r="Q23" s="55"/>
    </row>
    <row r="24" spans="1:17" x14ac:dyDescent="0.25">
      <c r="A24" s="50"/>
      <c r="B24" s="51"/>
      <c r="C24" s="51"/>
      <c r="D24" s="51"/>
      <c r="E24" s="51"/>
      <c r="F24" s="51"/>
      <c r="G24" s="51"/>
      <c r="H24" s="51"/>
      <c r="I24" s="51"/>
      <c r="J24" s="51"/>
      <c r="K24" s="51"/>
      <c r="L24" s="51"/>
      <c r="M24" s="51"/>
      <c r="N24" s="51"/>
      <c r="O24" s="51"/>
      <c r="P24" s="51"/>
      <c r="Q24" s="55"/>
    </row>
    <row r="25" spans="1:17" x14ac:dyDescent="0.25">
      <c r="A25" s="50"/>
      <c r="B25" s="51"/>
      <c r="C25" s="51"/>
      <c r="D25" s="51"/>
      <c r="E25" s="51"/>
      <c r="F25" s="51"/>
      <c r="G25" s="51"/>
      <c r="H25" s="51"/>
      <c r="I25" s="51"/>
      <c r="J25" s="51"/>
      <c r="K25" s="51"/>
      <c r="L25" s="51"/>
      <c r="M25" s="51"/>
      <c r="N25" s="51"/>
      <c r="O25" s="51"/>
      <c r="P25" s="51"/>
      <c r="Q25" s="55"/>
    </row>
    <row r="26" spans="1:17" x14ac:dyDescent="0.25">
      <c r="A26" s="50"/>
      <c r="B26" s="51"/>
      <c r="C26" s="51"/>
      <c r="D26" s="51"/>
      <c r="E26" s="51"/>
      <c r="F26" s="51"/>
      <c r="G26" s="51"/>
      <c r="H26" s="51"/>
      <c r="I26" s="51"/>
      <c r="J26" s="51"/>
      <c r="K26" s="51"/>
      <c r="L26" s="51"/>
      <c r="M26" s="51"/>
      <c r="N26" s="51"/>
      <c r="O26" s="51"/>
      <c r="P26" s="51"/>
      <c r="Q26" s="55"/>
    </row>
    <row r="27" spans="1:17" x14ac:dyDescent="0.25">
      <c r="A27" s="50"/>
      <c r="B27" s="51"/>
      <c r="C27" s="51"/>
      <c r="D27" s="51"/>
      <c r="E27" s="51"/>
      <c r="F27" s="51"/>
      <c r="G27" s="51"/>
      <c r="H27" s="51"/>
      <c r="I27" s="51"/>
      <c r="J27" s="51"/>
      <c r="K27" s="51"/>
      <c r="L27" s="51"/>
      <c r="M27" s="51"/>
      <c r="N27" s="51"/>
      <c r="O27" s="51"/>
      <c r="P27" s="51"/>
      <c r="Q27" s="55"/>
    </row>
    <row r="28" spans="1:17" x14ac:dyDescent="0.25">
      <c r="A28" s="50"/>
      <c r="B28" s="51"/>
      <c r="C28" s="51"/>
      <c r="D28" s="51"/>
      <c r="E28" s="51"/>
      <c r="F28" s="51"/>
      <c r="G28" s="51"/>
      <c r="H28" s="51"/>
      <c r="I28" s="51"/>
      <c r="J28" s="51"/>
      <c r="K28" s="51"/>
      <c r="L28" s="51"/>
      <c r="M28" s="51"/>
      <c r="N28" s="51"/>
      <c r="O28" s="51"/>
      <c r="P28" s="51"/>
      <c r="Q28" s="55"/>
    </row>
    <row r="29" spans="1:17" x14ac:dyDescent="0.25">
      <c r="A29" s="50"/>
      <c r="B29" s="51"/>
      <c r="C29" s="51"/>
      <c r="D29" s="51"/>
      <c r="E29" s="51"/>
      <c r="F29" s="51"/>
      <c r="G29" s="51"/>
      <c r="H29" s="51"/>
      <c r="I29" s="51"/>
      <c r="J29" s="51"/>
      <c r="K29" s="51"/>
      <c r="L29" s="51"/>
      <c r="M29" s="51"/>
      <c r="N29" s="51"/>
      <c r="O29" s="51"/>
      <c r="P29" s="51"/>
      <c r="Q29" s="55"/>
    </row>
    <row r="30" spans="1:17" ht="15.75" thickBot="1" x14ac:dyDescent="0.3">
      <c r="A30" s="59"/>
      <c r="B30" s="60"/>
      <c r="C30" s="60"/>
      <c r="D30" s="60"/>
      <c r="E30" s="60"/>
      <c r="F30" s="60"/>
      <c r="G30" s="60"/>
      <c r="H30" s="60"/>
      <c r="I30" s="60"/>
      <c r="J30" s="60"/>
      <c r="K30" s="60"/>
      <c r="L30" s="60"/>
      <c r="M30" s="60"/>
      <c r="N30" s="60"/>
      <c r="O30" s="60"/>
      <c r="P30" s="60"/>
      <c r="Q30" s="61"/>
    </row>
  </sheetData>
  <mergeCells count="1">
    <mergeCell ref="I2:O3"/>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71"/>
  <sheetViews>
    <sheetView workbookViewId="0">
      <selection activeCell="F4" sqref="F4"/>
    </sheetView>
  </sheetViews>
  <sheetFormatPr defaultRowHeight="15" x14ac:dyDescent="0.25"/>
  <cols>
    <col min="1" max="1" width="13.140625" customWidth="1"/>
    <col min="2" max="2" width="17.42578125" customWidth="1"/>
    <col min="3" max="3" width="9.5703125" customWidth="1"/>
    <col min="5" max="5" width="27.28515625" bestFit="1" customWidth="1"/>
    <col min="6" max="6" width="20.85546875" bestFit="1" customWidth="1"/>
    <col min="8" max="8" width="13.140625" customWidth="1"/>
    <col min="9" max="9" width="17.85546875" customWidth="1"/>
  </cols>
  <sheetData>
    <row r="3" spans="1:9" x14ac:dyDescent="0.25">
      <c r="A3" s="46" t="s">
        <v>223</v>
      </c>
      <c r="B3" t="s">
        <v>224</v>
      </c>
      <c r="C3" t="s">
        <v>225</v>
      </c>
      <c r="E3" s="46" t="s">
        <v>223</v>
      </c>
      <c r="F3" t="s">
        <v>226</v>
      </c>
      <c r="H3" s="46" t="s">
        <v>223</v>
      </c>
      <c r="I3" t="s">
        <v>227</v>
      </c>
    </row>
    <row r="4" spans="1:9" x14ac:dyDescent="0.25">
      <c r="A4" s="37" t="s">
        <v>74</v>
      </c>
      <c r="B4" s="45">
        <v>9</v>
      </c>
      <c r="C4" s="45">
        <v>7</v>
      </c>
      <c r="E4" s="37" t="s">
        <v>213</v>
      </c>
      <c r="F4" s="45">
        <v>2</v>
      </c>
      <c r="H4" s="37" t="s">
        <v>57</v>
      </c>
      <c r="I4" s="45">
        <v>2</v>
      </c>
    </row>
    <row r="5" spans="1:9" x14ac:dyDescent="0.25">
      <c r="A5" s="37" t="s">
        <v>228</v>
      </c>
      <c r="B5" s="45">
        <v>9</v>
      </c>
      <c r="C5" s="45">
        <v>7</v>
      </c>
      <c r="E5" s="37" t="s">
        <v>181</v>
      </c>
      <c r="F5" s="45">
        <v>2</v>
      </c>
      <c r="H5" s="37" t="s">
        <v>84</v>
      </c>
      <c r="I5" s="45">
        <v>11</v>
      </c>
    </row>
    <row r="6" spans="1:9" x14ac:dyDescent="0.25">
      <c r="E6" s="37" t="s">
        <v>221</v>
      </c>
      <c r="F6" s="45">
        <v>4</v>
      </c>
      <c r="H6" s="37" t="s">
        <v>55</v>
      </c>
      <c r="I6" s="45">
        <v>1</v>
      </c>
    </row>
    <row r="7" spans="1:9" x14ac:dyDescent="0.25">
      <c r="E7" s="37" t="s">
        <v>206</v>
      </c>
      <c r="F7" s="45"/>
      <c r="H7" s="37" t="s">
        <v>65</v>
      </c>
      <c r="I7" s="45">
        <v>2</v>
      </c>
    </row>
    <row r="8" spans="1:9" x14ac:dyDescent="0.25">
      <c r="E8" s="37" t="s">
        <v>211</v>
      </c>
      <c r="F8" s="45">
        <v>2</v>
      </c>
      <c r="H8" s="37" t="s">
        <v>61</v>
      </c>
      <c r="I8" s="45">
        <v>3</v>
      </c>
    </row>
    <row r="9" spans="1:9" x14ac:dyDescent="0.25">
      <c r="E9" s="37" t="s">
        <v>175</v>
      </c>
      <c r="F9" s="45">
        <v>8</v>
      </c>
      <c r="H9" s="37" t="s">
        <v>72</v>
      </c>
      <c r="I9" s="45">
        <v>1</v>
      </c>
    </row>
    <row r="10" spans="1:9" x14ac:dyDescent="0.25">
      <c r="E10" s="37" t="s">
        <v>168</v>
      </c>
      <c r="F10" s="45">
        <v>4</v>
      </c>
      <c r="H10" s="37" t="s">
        <v>97</v>
      </c>
      <c r="I10" s="45">
        <v>1</v>
      </c>
    </row>
    <row r="11" spans="1:9" x14ac:dyDescent="0.25">
      <c r="E11" s="37" t="s">
        <v>165</v>
      </c>
      <c r="F11" s="45">
        <v>4</v>
      </c>
      <c r="H11" s="37" t="s">
        <v>59</v>
      </c>
      <c r="I11" s="45">
        <v>9</v>
      </c>
    </row>
    <row r="12" spans="1:9" x14ac:dyDescent="0.25">
      <c r="E12" s="37" t="s">
        <v>170</v>
      </c>
      <c r="F12" s="45">
        <v>4</v>
      </c>
      <c r="H12" s="37" t="s">
        <v>63</v>
      </c>
      <c r="I12" s="45">
        <v>1</v>
      </c>
    </row>
    <row r="13" spans="1:9" x14ac:dyDescent="0.25">
      <c r="E13" s="37" t="s">
        <v>217</v>
      </c>
      <c r="F13" s="45">
        <v>4</v>
      </c>
      <c r="H13" s="37" t="s">
        <v>8</v>
      </c>
      <c r="I13" s="45">
        <v>26</v>
      </c>
    </row>
    <row r="14" spans="1:9" x14ac:dyDescent="0.25">
      <c r="E14" s="37" t="s">
        <v>186</v>
      </c>
      <c r="F14" s="45">
        <v>2</v>
      </c>
      <c r="H14" s="37" t="s">
        <v>229</v>
      </c>
      <c r="I14" s="45"/>
    </row>
    <row r="15" spans="1:9" x14ac:dyDescent="0.25">
      <c r="E15" s="37" t="s">
        <v>158</v>
      </c>
      <c r="F15" s="45">
        <v>1</v>
      </c>
      <c r="H15" s="37" t="s">
        <v>47</v>
      </c>
      <c r="I15" s="45">
        <v>6</v>
      </c>
    </row>
    <row r="16" spans="1:9" x14ac:dyDescent="0.25">
      <c r="E16" s="37" t="s">
        <v>204</v>
      </c>
      <c r="F16" s="45">
        <v>2</v>
      </c>
      <c r="H16" s="37" t="s">
        <v>228</v>
      </c>
      <c r="I16" s="45">
        <v>63</v>
      </c>
    </row>
    <row r="17" spans="5:6" x14ac:dyDescent="0.25">
      <c r="E17" s="37" t="s">
        <v>173</v>
      </c>
      <c r="F17" s="45">
        <v>2</v>
      </c>
    </row>
    <row r="18" spans="5:6" x14ac:dyDescent="0.25">
      <c r="E18" s="37" t="s">
        <v>155</v>
      </c>
      <c r="F18" s="45">
        <v>5</v>
      </c>
    </row>
    <row r="19" spans="5:6" x14ac:dyDescent="0.25">
      <c r="E19" s="37" t="s">
        <v>159</v>
      </c>
      <c r="F19" s="45">
        <v>18</v>
      </c>
    </row>
    <row r="20" spans="5:6" x14ac:dyDescent="0.25">
      <c r="E20" s="37" t="s">
        <v>205</v>
      </c>
      <c r="F20" s="45">
        <v>1</v>
      </c>
    </row>
    <row r="21" spans="5:6" x14ac:dyDescent="0.25">
      <c r="E21" s="37" t="s">
        <v>156</v>
      </c>
      <c r="F21" s="45">
        <v>1</v>
      </c>
    </row>
    <row r="22" spans="5:6" x14ac:dyDescent="0.25">
      <c r="E22" s="37" t="s">
        <v>201</v>
      </c>
      <c r="F22" s="45">
        <v>1</v>
      </c>
    </row>
    <row r="23" spans="5:6" x14ac:dyDescent="0.25">
      <c r="E23" s="37" t="s">
        <v>209</v>
      </c>
      <c r="F23" s="45">
        <v>5</v>
      </c>
    </row>
    <row r="24" spans="5:6" x14ac:dyDescent="0.25">
      <c r="E24" s="37" t="s">
        <v>219</v>
      </c>
      <c r="F24" s="45">
        <v>3</v>
      </c>
    </row>
    <row r="25" spans="5:6" x14ac:dyDescent="0.25">
      <c r="E25" s="37" t="s">
        <v>208</v>
      </c>
      <c r="F25" s="45">
        <v>21</v>
      </c>
    </row>
    <row r="26" spans="5:6" x14ac:dyDescent="0.25">
      <c r="E26" s="37" t="s">
        <v>154</v>
      </c>
      <c r="F26" s="45">
        <v>8</v>
      </c>
    </row>
    <row r="27" spans="5:6" x14ac:dyDescent="0.25">
      <c r="E27" s="37" t="s">
        <v>164</v>
      </c>
      <c r="F27" s="45">
        <v>7</v>
      </c>
    </row>
    <row r="28" spans="5:6" x14ac:dyDescent="0.25">
      <c r="E28" s="37" t="s">
        <v>163</v>
      </c>
      <c r="F28" s="45">
        <v>2</v>
      </c>
    </row>
    <row r="29" spans="5:6" x14ac:dyDescent="0.25">
      <c r="E29" s="37" t="s">
        <v>178</v>
      </c>
      <c r="F29" s="45">
        <v>2</v>
      </c>
    </row>
    <row r="30" spans="5:6" x14ac:dyDescent="0.25">
      <c r="E30" s="37" t="s">
        <v>180</v>
      </c>
      <c r="F30" s="45">
        <v>1</v>
      </c>
    </row>
    <row r="31" spans="5:6" x14ac:dyDescent="0.25">
      <c r="E31" s="37" t="s">
        <v>215</v>
      </c>
      <c r="F31" s="45">
        <v>1</v>
      </c>
    </row>
    <row r="32" spans="5:6" x14ac:dyDescent="0.25">
      <c r="E32" s="37" t="s">
        <v>176</v>
      </c>
      <c r="F32" s="45">
        <v>2</v>
      </c>
    </row>
    <row r="33" spans="5:6" x14ac:dyDescent="0.25">
      <c r="E33" s="37" t="s">
        <v>172</v>
      </c>
      <c r="F33" s="45">
        <v>2</v>
      </c>
    </row>
    <row r="34" spans="5:6" x14ac:dyDescent="0.25">
      <c r="E34" s="37" t="s">
        <v>167</v>
      </c>
      <c r="F34" s="45">
        <v>8</v>
      </c>
    </row>
    <row r="35" spans="5:6" x14ac:dyDescent="0.25">
      <c r="E35" s="37" t="s">
        <v>210</v>
      </c>
      <c r="F35" s="45">
        <v>2</v>
      </c>
    </row>
    <row r="36" spans="5:6" x14ac:dyDescent="0.25">
      <c r="E36" s="37" t="s">
        <v>179</v>
      </c>
      <c r="F36" s="45">
        <v>1</v>
      </c>
    </row>
    <row r="37" spans="5:6" x14ac:dyDescent="0.25">
      <c r="E37" s="37" t="s">
        <v>200</v>
      </c>
      <c r="F37" s="45">
        <v>1</v>
      </c>
    </row>
    <row r="38" spans="5:6" x14ac:dyDescent="0.25">
      <c r="E38" s="37" t="s">
        <v>160</v>
      </c>
      <c r="F38" s="45">
        <v>1</v>
      </c>
    </row>
    <row r="39" spans="5:6" x14ac:dyDescent="0.25">
      <c r="E39" s="37" t="s">
        <v>214</v>
      </c>
      <c r="F39" s="45">
        <v>4</v>
      </c>
    </row>
    <row r="40" spans="5:6" x14ac:dyDescent="0.25">
      <c r="E40" s="37" t="s">
        <v>177</v>
      </c>
      <c r="F40" s="45">
        <v>2</v>
      </c>
    </row>
    <row r="41" spans="5:6" x14ac:dyDescent="0.25">
      <c r="E41" s="37" t="s">
        <v>229</v>
      </c>
      <c r="F41" s="45"/>
    </row>
    <row r="42" spans="5:6" x14ac:dyDescent="0.25">
      <c r="E42" s="37" t="s">
        <v>182</v>
      </c>
      <c r="F42" s="45">
        <v>3</v>
      </c>
    </row>
    <row r="43" spans="5:6" x14ac:dyDescent="0.25">
      <c r="E43" s="37" t="s">
        <v>183</v>
      </c>
      <c r="F43" s="45">
        <v>1</v>
      </c>
    </row>
    <row r="44" spans="5:6" x14ac:dyDescent="0.25">
      <c r="E44" s="37" t="s">
        <v>184</v>
      </c>
      <c r="F44" s="45">
        <v>1</v>
      </c>
    </row>
    <row r="45" spans="5:6" x14ac:dyDescent="0.25">
      <c r="E45" s="37" t="s">
        <v>187</v>
      </c>
      <c r="F45" s="45">
        <v>1</v>
      </c>
    </row>
    <row r="46" spans="5:6" x14ac:dyDescent="0.25">
      <c r="E46" s="37" t="s">
        <v>185</v>
      </c>
      <c r="F46" s="45">
        <v>1</v>
      </c>
    </row>
    <row r="47" spans="5:6" x14ac:dyDescent="0.25">
      <c r="E47" s="37" t="s">
        <v>166</v>
      </c>
      <c r="F47" s="45">
        <v>26</v>
      </c>
    </row>
    <row r="48" spans="5:6" x14ac:dyDescent="0.25">
      <c r="E48" s="37" t="s">
        <v>193</v>
      </c>
      <c r="F48" s="45">
        <v>6</v>
      </c>
    </row>
    <row r="49" spans="5:6" x14ac:dyDescent="0.25">
      <c r="E49" s="37" t="s">
        <v>194</v>
      </c>
      <c r="F49" s="45">
        <v>6</v>
      </c>
    </row>
    <row r="50" spans="5:6" x14ac:dyDescent="0.25">
      <c r="E50" s="37" t="s">
        <v>195</v>
      </c>
      <c r="F50" s="45">
        <v>2</v>
      </c>
    </row>
    <row r="51" spans="5:6" x14ac:dyDescent="0.25">
      <c r="E51" s="37" t="s">
        <v>197</v>
      </c>
      <c r="F51" s="45">
        <v>2</v>
      </c>
    </row>
    <row r="52" spans="5:6" x14ac:dyDescent="0.25">
      <c r="E52" s="37" t="s">
        <v>198</v>
      </c>
      <c r="F52" s="45">
        <v>1</v>
      </c>
    </row>
    <row r="53" spans="5:6" x14ac:dyDescent="0.25">
      <c r="E53" s="37" t="s">
        <v>196</v>
      </c>
      <c r="F53" s="45">
        <v>26</v>
      </c>
    </row>
    <row r="54" spans="5:6" x14ac:dyDescent="0.25">
      <c r="E54" s="37" t="s">
        <v>199</v>
      </c>
      <c r="F54" s="45">
        <v>1</v>
      </c>
    </row>
    <row r="55" spans="5:6" x14ac:dyDescent="0.25">
      <c r="E55" s="37" t="s">
        <v>157</v>
      </c>
      <c r="F55" s="45">
        <v>64</v>
      </c>
    </row>
    <row r="56" spans="5:6" x14ac:dyDescent="0.25">
      <c r="E56" s="37" t="s">
        <v>222</v>
      </c>
      <c r="F56" s="45">
        <v>2</v>
      </c>
    </row>
    <row r="57" spans="5:6" x14ac:dyDescent="0.25">
      <c r="E57" s="37" t="s">
        <v>169</v>
      </c>
      <c r="F57" s="45">
        <v>1</v>
      </c>
    </row>
    <row r="58" spans="5:6" x14ac:dyDescent="0.25">
      <c r="E58" s="37" t="s">
        <v>171</v>
      </c>
      <c r="F58" s="45">
        <v>1</v>
      </c>
    </row>
    <row r="59" spans="5:6" x14ac:dyDescent="0.25">
      <c r="E59" s="37" t="s">
        <v>174</v>
      </c>
      <c r="F59" s="45">
        <v>1</v>
      </c>
    </row>
    <row r="60" spans="5:6" x14ac:dyDescent="0.25">
      <c r="E60" s="37" t="s">
        <v>188</v>
      </c>
      <c r="F60" s="45">
        <v>2</v>
      </c>
    </row>
    <row r="61" spans="5:6" x14ac:dyDescent="0.25">
      <c r="E61" s="37" t="s">
        <v>191</v>
      </c>
      <c r="F61" s="45">
        <v>2</v>
      </c>
    </row>
    <row r="62" spans="5:6" x14ac:dyDescent="0.25">
      <c r="E62" s="37" t="s">
        <v>190</v>
      </c>
      <c r="F62" s="45">
        <v>1</v>
      </c>
    </row>
    <row r="63" spans="5:6" x14ac:dyDescent="0.25">
      <c r="E63" s="37" t="s">
        <v>189</v>
      </c>
      <c r="F63" s="45">
        <v>3</v>
      </c>
    </row>
    <row r="64" spans="5:6" x14ac:dyDescent="0.25">
      <c r="E64" s="37" t="s">
        <v>192</v>
      </c>
      <c r="F64" s="45">
        <v>1</v>
      </c>
    </row>
    <row r="65" spans="5:6" x14ac:dyDescent="0.25">
      <c r="E65" s="37" t="s">
        <v>203</v>
      </c>
      <c r="F65" s="45">
        <v>2</v>
      </c>
    </row>
    <row r="66" spans="5:6" x14ac:dyDescent="0.25">
      <c r="E66" s="37" t="s">
        <v>202</v>
      </c>
      <c r="F66" s="45">
        <v>2</v>
      </c>
    </row>
    <row r="67" spans="5:6" x14ac:dyDescent="0.25">
      <c r="E67" s="37" t="s">
        <v>161</v>
      </c>
      <c r="F67" s="45">
        <v>10</v>
      </c>
    </row>
    <row r="68" spans="5:6" x14ac:dyDescent="0.25">
      <c r="E68" s="37" t="s">
        <v>220</v>
      </c>
      <c r="F68" s="45">
        <v>2</v>
      </c>
    </row>
    <row r="69" spans="5:6" x14ac:dyDescent="0.25">
      <c r="E69" s="37" t="s">
        <v>218</v>
      </c>
      <c r="F69" s="45">
        <v>11</v>
      </c>
    </row>
    <row r="70" spans="5:6" x14ac:dyDescent="0.25">
      <c r="E70" s="37" t="s">
        <v>212</v>
      </c>
      <c r="F70" s="45">
        <v>2</v>
      </c>
    </row>
    <row r="71" spans="5:6" x14ac:dyDescent="0.25">
      <c r="E71" s="37" t="s">
        <v>228</v>
      </c>
      <c r="F71" s="45">
        <v>324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
  <sheetViews>
    <sheetView topLeftCell="A56" workbookViewId="0">
      <pane xSplit="3" topLeftCell="L1" activePane="topRight" state="frozen"/>
      <selection pane="topRight" activeCell="C66" sqref="C66"/>
    </sheetView>
  </sheetViews>
  <sheetFormatPr defaultRowHeight="15" x14ac:dyDescent="0.25"/>
  <cols>
    <col min="1" max="1" width="19.140625" bestFit="1" customWidth="1"/>
    <col min="2" max="2" width="12.5703125" bestFit="1" customWidth="1"/>
    <col min="3" max="3" width="83" style="43" bestFit="1" customWidth="1"/>
    <col min="4" max="4" width="21" style="44" bestFit="1" customWidth="1"/>
    <col min="5" max="6" width="17.5703125" bestFit="1" customWidth="1"/>
    <col min="7" max="7" width="19" bestFit="1" customWidth="1"/>
    <col min="8" max="8" width="27.28515625" bestFit="1" customWidth="1"/>
    <col min="9" max="9" width="24.28515625" bestFit="1" customWidth="1"/>
    <col min="10" max="10" width="8.7109375" bestFit="1" customWidth="1"/>
    <col min="11" max="11" width="12.28515625" bestFit="1" customWidth="1"/>
    <col min="12" max="12" width="18.28515625" bestFit="1" customWidth="1"/>
    <col min="13" max="13" width="28.7109375" bestFit="1" customWidth="1"/>
    <col min="14" max="14" width="15.7109375" bestFit="1" customWidth="1"/>
  </cols>
  <sheetData>
    <row r="1" spans="1:14" ht="15.75" x14ac:dyDescent="0.25">
      <c r="A1" s="33" t="s">
        <v>0</v>
      </c>
      <c r="B1" s="33" t="s">
        <v>1</v>
      </c>
      <c r="C1" s="33" t="s">
        <v>2</v>
      </c>
      <c r="D1" s="33" t="s">
        <v>4</v>
      </c>
      <c r="E1" s="33" t="s">
        <v>6</v>
      </c>
      <c r="F1" s="33" t="s">
        <v>7</v>
      </c>
      <c r="G1" s="34" t="s">
        <v>146</v>
      </c>
      <c r="H1" s="34" t="s">
        <v>147</v>
      </c>
      <c r="I1" s="34" t="s">
        <v>148</v>
      </c>
      <c r="J1" s="34" t="s">
        <v>149</v>
      </c>
      <c r="K1" s="34" t="s">
        <v>150</v>
      </c>
      <c r="L1" s="34" t="s">
        <v>151</v>
      </c>
      <c r="M1" s="34" t="s">
        <v>152</v>
      </c>
      <c r="N1" s="34" t="s">
        <v>153</v>
      </c>
    </row>
    <row r="2" spans="1:14" ht="16.5" x14ac:dyDescent="0.25">
      <c r="A2" s="5" t="s">
        <v>10</v>
      </c>
      <c r="B2" s="5" t="s">
        <v>8</v>
      </c>
      <c r="C2" s="35" t="s">
        <v>11</v>
      </c>
      <c r="D2" s="13">
        <v>19</v>
      </c>
      <c r="E2" s="7">
        <v>46174</v>
      </c>
      <c r="F2" s="7">
        <v>46193</v>
      </c>
      <c r="G2" t="s">
        <v>154</v>
      </c>
      <c r="H2" t="s">
        <v>155</v>
      </c>
      <c r="I2" t="s">
        <v>156</v>
      </c>
      <c r="J2" t="s">
        <v>157</v>
      </c>
      <c r="L2">
        <v>1</v>
      </c>
      <c r="M2" t="s">
        <v>154</v>
      </c>
      <c r="N2">
        <f>VLOOKUP(M2,[1]Sheet2!T:U,2,0)</f>
        <v>8</v>
      </c>
    </row>
    <row r="3" spans="1:14" ht="16.5" x14ac:dyDescent="0.25">
      <c r="A3" s="5" t="s">
        <v>10</v>
      </c>
      <c r="B3" s="5" t="s">
        <v>8</v>
      </c>
      <c r="C3" s="35" t="s">
        <v>17</v>
      </c>
      <c r="D3" s="13">
        <v>15</v>
      </c>
      <c r="E3" s="7">
        <v>46174</v>
      </c>
      <c r="F3" s="7">
        <v>46189</v>
      </c>
      <c r="G3" t="s">
        <v>154</v>
      </c>
      <c r="H3" t="s">
        <v>155</v>
      </c>
      <c r="I3" t="s">
        <v>158</v>
      </c>
      <c r="J3" t="s">
        <v>157</v>
      </c>
      <c r="L3">
        <v>1</v>
      </c>
      <c r="M3" t="s">
        <v>155</v>
      </c>
      <c r="N3">
        <f>VLOOKUP(M3,[1]Sheet2!T:U,2,0)</f>
        <v>5</v>
      </c>
    </row>
    <row r="4" spans="1:14" ht="16.5" x14ac:dyDescent="0.25">
      <c r="A4" s="5" t="s">
        <v>18</v>
      </c>
      <c r="B4" s="5" t="s">
        <v>8</v>
      </c>
      <c r="C4" s="5" t="s">
        <v>19</v>
      </c>
      <c r="D4" s="13">
        <v>18</v>
      </c>
      <c r="E4" s="7">
        <v>46179</v>
      </c>
      <c r="F4" s="7">
        <v>46197</v>
      </c>
      <c r="G4" t="s">
        <v>159</v>
      </c>
      <c r="H4" t="s">
        <v>159</v>
      </c>
      <c r="I4" t="s">
        <v>160</v>
      </c>
      <c r="J4" t="s">
        <v>161</v>
      </c>
      <c r="L4">
        <v>1</v>
      </c>
      <c r="M4" t="s">
        <v>159</v>
      </c>
      <c r="N4">
        <f>VLOOKUP(M4,[1]Sheet2!T:U,2,0)</f>
        <v>18</v>
      </c>
    </row>
    <row r="5" spans="1:14" ht="16.5" x14ac:dyDescent="0.25">
      <c r="A5" s="5" t="s">
        <v>18</v>
      </c>
      <c r="B5" s="5" t="s">
        <v>8</v>
      </c>
      <c r="C5" s="5" t="s">
        <v>20</v>
      </c>
      <c r="D5" s="13">
        <v>14</v>
      </c>
      <c r="E5" s="7">
        <v>46183</v>
      </c>
      <c r="F5" s="7">
        <v>46197</v>
      </c>
      <c r="G5" t="s">
        <v>159</v>
      </c>
      <c r="H5" t="s">
        <v>159</v>
      </c>
      <c r="I5" t="s">
        <v>162</v>
      </c>
      <c r="J5" t="s">
        <v>161</v>
      </c>
      <c r="L5">
        <v>1</v>
      </c>
      <c r="M5" t="s">
        <v>163</v>
      </c>
      <c r="N5">
        <f>VLOOKUP(M5,[1]Sheet2!T:U,2,0)</f>
        <v>2</v>
      </c>
    </row>
    <row r="6" spans="1:14" ht="16.5" x14ac:dyDescent="0.25">
      <c r="A6" s="5" t="s">
        <v>21</v>
      </c>
      <c r="B6" s="5" t="s">
        <v>8</v>
      </c>
      <c r="C6" s="5" t="s">
        <v>22</v>
      </c>
      <c r="D6" s="36">
        <v>19</v>
      </c>
      <c r="E6" s="7">
        <v>46174</v>
      </c>
      <c r="F6" s="7">
        <v>46193</v>
      </c>
      <c r="G6" t="s">
        <v>164</v>
      </c>
      <c r="H6" t="s">
        <v>164</v>
      </c>
      <c r="I6" t="s">
        <v>165</v>
      </c>
      <c r="J6" t="s">
        <v>166</v>
      </c>
      <c r="L6">
        <v>1</v>
      </c>
      <c r="M6" t="s">
        <v>164</v>
      </c>
      <c r="N6">
        <f>VLOOKUP(M6,[1]Sheet2!T:U,2,0)</f>
        <v>7</v>
      </c>
    </row>
    <row r="7" spans="1:14" ht="16.5" x14ac:dyDescent="0.25">
      <c r="A7" s="5" t="s">
        <v>23</v>
      </c>
      <c r="B7" s="5" t="s">
        <v>8</v>
      </c>
      <c r="C7" s="5" t="s">
        <v>24</v>
      </c>
      <c r="D7" s="36">
        <v>14</v>
      </c>
      <c r="E7" s="7">
        <v>46186</v>
      </c>
      <c r="F7" s="7">
        <v>46200</v>
      </c>
      <c r="G7" t="s">
        <v>167</v>
      </c>
      <c r="H7" t="s">
        <v>168</v>
      </c>
      <c r="I7" s="37" t="s">
        <v>169</v>
      </c>
      <c r="J7" t="s">
        <v>157</v>
      </c>
      <c r="L7">
        <v>1</v>
      </c>
      <c r="M7" t="s">
        <v>170</v>
      </c>
      <c r="N7">
        <f>VLOOKUP(M7,[1]Sheet2!T:U,2,0)</f>
        <v>4</v>
      </c>
    </row>
    <row r="8" spans="1:14" ht="16.5" x14ac:dyDescent="0.25">
      <c r="A8" s="5" t="s">
        <v>23</v>
      </c>
      <c r="B8" s="5" t="s">
        <v>8</v>
      </c>
      <c r="C8" s="5" t="s">
        <v>25</v>
      </c>
      <c r="D8" s="36">
        <v>14</v>
      </c>
      <c r="E8" s="7">
        <v>46207</v>
      </c>
      <c r="F8" s="7">
        <v>46221</v>
      </c>
      <c r="G8" t="s">
        <v>167</v>
      </c>
      <c r="H8" t="s">
        <v>170</v>
      </c>
      <c r="I8" s="37" t="s">
        <v>171</v>
      </c>
      <c r="J8" t="s">
        <v>157</v>
      </c>
      <c r="L8">
        <v>1</v>
      </c>
      <c r="M8" t="s">
        <v>168</v>
      </c>
      <c r="N8">
        <f>VLOOKUP(M8,[1]Sheet2!T:U,2,0)</f>
        <v>4</v>
      </c>
    </row>
    <row r="9" spans="1:14" ht="16.5" x14ac:dyDescent="0.25">
      <c r="A9" s="5" t="s">
        <v>23</v>
      </c>
      <c r="B9" s="5" t="s">
        <v>8</v>
      </c>
      <c r="C9" s="5" t="s">
        <v>26</v>
      </c>
      <c r="D9" s="36">
        <v>15</v>
      </c>
      <c r="E9" s="7">
        <v>46174</v>
      </c>
      <c r="F9" s="7">
        <v>46189</v>
      </c>
      <c r="G9" t="s">
        <v>167</v>
      </c>
      <c r="H9" t="s">
        <v>168</v>
      </c>
      <c r="I9" t="s">
        <v>172</v>
      </c>
      <c r="J9" t="s">
        <v>157</v>
      </c>
      <c r="L9">
        <v>1</v>
      </c>
      <c r="M9" t="s">
        <v>172</v>
      </c>
      <c r="N9">
        <f>VLOOKUP(M9,[1]Sheet2!T:U,2,0)</f>
        <v>2</v>
      </c>
    </row>
    <row r="10" spans="1:14" ht="16.5" x14ac:dyDescent="0.25">
      <c r="A10" s="5" t="s">
        <v>23</v>
      </c>
      <c r="B10" s="5" t="s">
        <v>8</v>
      </c>
      <c r="C10" s="5" t="s">
        <v>27</v>
      </c>
      <c r="D10" s="36">
        <v>45</v>
      </c>
      <c r="E10" s="7">
        <v>46174</v>
      </c>
      <c r="F10" s="7">
        <v>46219</v>
      </c>
      <c r="G10" t="s">
        <v>167</v>
      </c>
      <c r="H10" t="s">
        <v>168</v>
      </c>
      <c r="I10" t="s">
        <v>173</v>
      </c>
      <c r="J10" t="s">
        <v>157</v>
      </c>
      <c r="L10">
        <v>1</v>
      </c>
      <c r="M10" t="s">
        <v>173</v>
      </c>
      <c r="N10">
        <f>VLOOKUP(M10,[1]Sheet2!T:U,2,0)</f>
        <v>2</v>
      </c>
    </row>
    <row r="11" spans="1:14" ht="16.5" x14ac:dyDescent="0.25">
      <c r="A11" s="5" t="s">
        <v>23</v>
      </c>
      <c r="B11" s="5" t="s">
        <v>8</v>
      </c>
      <c r="C11" s="5" t="s">
        <v>28</v>
      </c>
      <c r="D11" s="36">
        <v>5</v>
      </c>
      <c r="E11" s="7">
        <v>46207</v>
      </c>
      <c r="F11" s="7">
        <v>46212</v>
      </c>
      <c r="G11" t="s">
        <v>167</v>
      </c>
      <c r="H11" t="s">
        <v>170</v>
      </c>
      <c r="I11" s="37" t="s">
        <v>174</v>
      </c>
      <c r="J11" t="s">
        <v>157</v>
      </c>
      <c r="L11">
        <v>1</v>
      </c>
      <c r="M11" t="s">
        <v>167</v>
      </c>
      <c r="N11">
        <f>VLOOKUP(M11,[1]Sheet2!T:U,2,0)</f>
        <v>8</v>
      </c>
    </row>
    <row r="12" spans="1:14" ht="16.5" x14ac:dyDescent="0.25">
      <c r="A12" s="5" t="s">
        <v>23</v>
      </c>
      <c r="B12" s="5"/>
      <c r="C12" s="5"/>
      <c r="D12" s="36"/>
      <c r="E12" s="7"/>
      <c r="F12" s="7"/>
      <c r="L12">
        <v>1</v>
      </c>
      <c r="M12" s="37" t="s">
        <v>169</v>
      </c>
      <c r="N12">
        <f>VLOOKUP(M12,[1]Sheet2!T:U,2,0)</f>
        <v>1</v>
      </c>
    </row>
    <row r="13" spans="1:14" ht="16.5" x14ac:dyDescent="0.25">
      <c r="A13" s="5" t="s">
        <v>23</v>
      </c>
      <c r="B13" s="5"/>
      <c r="C13" s="5"/>
      <c r="D13" s="36"/>
      <c r="E13" s="7"/>
      <c r="F13" s="7"/>
      <c r="L13">
        <v>1</v>
      </c>
      <c r="M13" s="37" t="s">
        <v>171</v>
      </c>
      <c r="N13">
        <f>VLOOKUP(M13,[1]Sheet2!T:U,2,0)</f>
        <v>1</v>
      </c>
    </row>
    <row r="14" spans="1:14" ht="16.5" x14ac:dyDescent="0.25">
      <c r="A14" s="5" t="s">
        <v>23</v>
      </c>
      <c r="B14" s="5"/>
      <c r="C14" s="5"/>
      <c r="D14" s="36"/>
      <c r="E14" s="7"/>
      <c r="F14" s="7"/>
      <c r="M14" s="37"/>
    </row>
    <row r="15" spans="1:14" ht="16.5" x14ac:dyDescent="0.25">
      <c r="A15" s="5" t="s">
        <v>23</v>
      </c>
      <c r="B15" s="5"/>
      <c r="C15" s="5"/>
      <c r="D15" s="36"/>
      <c r="E15" s="7"/>
      <c r="F15" s="7"/>
      <c r="M15" s="37"/>
    </row>
    <row r="16" spans="1:14" ht="16.5" x14ac:dyDescent="0.25">
      <c r="A16" s="5" t="s">
        <v>23</v>
      </c>
      <c r="B16" s="5"/>
      <c r="C16" s="5"/>
      <c r="D16" s="36"/>
      <c r="E16" s="7"/>
      <c r="F16" s="7"/>
      <c r="L16">
        <v>1</v>
      </c>
      <c r="M16" t="s">
        <v>157</v>
      </c>
      <c r="N16">
        <f>VLOOKUP(M16,[1]Sheet2!T:U,2,0)</f>
        <v>16</v>
      </c>
    </row>
    <row r="17" spans="1:14" ht="16.5" x14ac:dyDescent="0.25">
      <c r="A17" s="5" t="s">
        <v>23</v>
      </c>
      <c r="B17" s="5"/>
      <c r="C17" s="5"/>
      <c r="D17" s="36"/>
      <c r="E17" s="7"/>
      <c r="F17" s="7"/>
      <c r="L17">
        <v>1</v>
      </c>
      <c r="M17" s="37" t="s">
        <v>174</v>
      </c>
      <c r="N17">
        <f>VLOOKUP(M17,[1]Sheet2!T:U,2,0)</f>
        <v>1</v>
      </c>
    </row>
    <row r="18" spans="1:14" ht="16.5" x14ac:dyDescent="0.25">
      <c r="A18" s="5" t="s">
        <v>29</v>
      </c>
      <c r="B18" s="5" t="s">
        <v>8</v>
      </c>
      <c r="C18" s="5" t="s">
        <v>30</v>
      </c>
      <c r="D18" s="36">
        <v>8</v>
      </c>
      <c r="E18" s="7">
        <v>46192</v>
      </c>
      <c r="F18" s="7">
        <v>46200</v>
      </c>
      <c r="G18" t="s">
        <v>175</v>
      </c>
      <c r="H18" t="s">
        <v>176</v>
      </c>
      <c r="I18" t="s">
        <v>177</v>
      </c>
      <c r="J18" s="38" t="s">
        <v>166</v>
      </c>
      <c r="L18">
        <v>1</v>
      </c>
      <c r="M18" t="s">
        <v>176</v>
      </c>
      <c r="N18">
        <f>VLOOKUP(M18,[1]Sheet2!T:U,2,0)</f>
        <v>2</v>
      </c>
    </row>
    <row r="19" spans="1:14" ht="16.5" x14ac:dyDescent="0.25">
      <c r="A19" s="5" t="s">
        <v>29</v>
      </c>
      <c r="B19" s="5" t="s">
        <v>8</v>
      </c>
      <c r="C19" s="5" t="s">
        <v>31</v>
      </c>
      <c r="D19" s="36">
        <v>11</v>
      </c>
      <c r="E19" s="7">
        <v>46189</v>
      </c>
      <c r="F19" s="7">
        <v>46200</v>
      </c>
      <c r="G19" t="s">
        <v>175</v>
      </c>
      <c r="H19" t="s">
        <v>178</v>
      </c>
      <c r="I19" t="s">
        <v>179</v>
      </c>
      <c r="J19" s="38" t="s">
        <v>166</v>
      </c>
      <c r="L19">
        <v>1</v>
      </c>
      <c r="M19" t="s">
        <v>175</v>
      </c>
      <c r="N19">
        <f>VLOOKUP(M19,[1]Sheet2!T:U,2,0)</f>
        <v>8</v>
      </c>
    </row>
    <row r="20" spans="1:14" ht="16.5" x14ac:dyDescent="0.25">
      <c r="A20" s="5" t="s">
        <v>23</v>
      </c>
      <c r="B20" s="5" t="s">
        <v>8</v>
      </c>
      <c r="C20" s="5" t="s">
        <v>32</v>
      </c>
      <c r="D20" s="6">
        <v>60</v>
      </c>
      <c r="E20" s="7">
        <v>46237</v>
      </c>
      <c r="F20" s="7">
        <v>46297</v>
      </c>
      <c r="G20" t="s">
        <v>167</v>
      </c>
      <c r="H20" t="s">
        <v>170</v>
      </c>
      <c r="I20" t="s">
        <v>173</v>
      </c>
      <c r="J20" t="s">
        <v>157</v>
      </c>
      <c r="M20" s="37"/>
    </row>
    <row r="21" spans="1:14" ht="16.5" x14ac:dyDescent="0.25">
      <c r="A21" s="5" t="s">
        <v>23</v>
      </c>
      <c r="B21" s="5" t="s">
        <v>8</v>
      </c>
      <c r="C21" s="5" t="s">
        <v>33</v>
      </c>
      <c r="D21" s="6">
        <v>45</v>
      </c>
      <c r="E21" s="7">
        <v>46216</v>
      </c>
      <c r="F21" s="7">
        <v>46261</v>
      </c>
      <c r="G21" t="s">
        <v>167</v>
      </c>
      <c r="H21" t="s">
        <v>170</v>
      </c>
      <c r="I21" t="s">
        <v>172</v>
      </c>
      <c r="J21" t="s">
        <v>157</v>
      </c>
      <c r="M21" s="37"/>
    </row>
    <row r="22" spans="1:14" ht="16.5" x14ac:dyDescent="0.25">
      <c r="A22" s="5" t="s">
        <v>23</v>
      </c>
      <c r="B22" s="5" t="s">
        <v>8</v>
      </c>
      <c r="C22" s="5" t="s">
        <v>34</v>
      </c>
      <c r="D22" s="6">
        <v>18</v>
      </c>
      <c r="E22" s="7">
        <v>46216</v>
      </c>
      <c r="F22" s="7">
        <v>46235</v>
      </c>
      <c r="G22" t="s">
        <v>167</v>
      </c>
      <c r="H22" t="s">
        <v>168</v>
      </c>
      <c r="I22" s="37" t="s">
        <v>180</v>
      </c>
      <c r="J22" t="s">
        <v>157</v>
      </c>
      <c r="L22">
        <v>1</v>
      </c>
      <c r="M22" s="37" t="s">
        <v>180</v>
      </c>
      <c r="N22">
        <f>VLOOKUP(M22,[1]Sheet2!T:U,2,0)</f>
        <v>1</v>
      </c>
    </row>
    <row r="23" spans="1:14" ht="16.5" x14ac:dyDescent="0.25">
      <c r="A23" s="5" t="s">
        <v>10</v>
      </c>
      <c r="B23" s="5" t="s">
        <v>8</v>
      </c>
      <c r="C23" s="5" t="s">
        <v>35</v>
      </c>
      <c r="D23" s="6">
        <v>12</v>
      </c>
      <c r="E23" s="7">
        <v>46216</v>
      </c>
      <c r="F23" s="7">
        <v>46228</v>
      </c>
      <c r="G23" t="s">
        <v>154</v>
      </c>
      <c r="H23" t="s">
        <v>155</v>
      </c>
      <c r="I23" t="s">
        <v>181</v>
      </c>
      <c r="J23" t="s">
        <v>157</v>
      </c>
      <c r="L23">
        <v>1</v>
      </c>
      <c r="M23" s="37" t="s">
        <v>182</v>
      </c>
      <c r="N23">
        <f>VLOOKUP(M23,[1]Sheet2!T:U,2,0)</f>
        <v>3</v>
      </c>
    </row>
    <row r="24" spans="1:14" ht="16.5" x14ac:dyDescent="0.25">
      <c r="A24" s="5" t="s">
        <v>10</v>
      </c>
      <c r="B24" s="5" t="s">
        <v>8</v>
      </c>
      <c r="C24" s="5" t="s">
        <v>36</v>
      </c>
      <c r="D24" s="6">
        <v>15</v>
      </c>
      <c r="E24" s="7">
        <v>46216</v>
      </c>
      <c r="F24" s="7">
        <v>46231</v>
      </c>
      <c r="G24" t="s">
        <v>154</v>
      </c>
      <c r="H24" t="s">
        <v>155</v>
      </c>
      <c r="I24" t="s">
        <v>183</v>
      </c>
      <c r="J24" t="s">
        <v>157</v>
      </c>
      <c r="L24" s="38">
        <v>1</v>
      </c>
      <c r="M24" s="37" t="s">
        <v>183</v>
      </c>
      <c r="N24">
        <f>VLOOKUP(M24,[1]Sheet2!T:U,2,0)</f>
        <v>1</v>
      </c>
    </row>
    <row r="25" spans="1:14" ht="16.5" x14ac:dyDescent="0.25">
      <c r="A25" s="5" t="s">
        <v>10</v>
      </c>
      <c r="B25" s="5" t="s">
        <v>8</v>
      </c>
      <c r="C25" s="5" t="s">
        <v>37</v>
      </c>
      <c r="D25" s="6">
        <v>9</v>
      </c>
      <c r="E25" s="7">
        <v>46220</v>
      </c>
      <c r="F25" s="7">
        <v>46232</v>
      </c>
      <c r="G25" t="s">
        <v>154</v>
      </c>
      <c r="H25" t="s">
        <v>155</v>
      </c>
      <c r="I25" t="s">
        <v>184</v>
      </c>
      <c r="J25" t="s">
        <v>157</v>
      </c>
      <c r="L25" s="38">
        <v>1</v>
      </c>
      <c r="M25" s="37" t="s">
        <v>184</v>
      </c>
      <c r="N25">
        <f>VLOOKUP(M25,[1]Sheet2!T:U,2,0)</f>
        <v>1</v>
      </c>
    </row>
    <row r="26" spans="1:14" ht="16.5" x14ac:dyDescent="0.25">
      <c r="A26" s="5" t="s">
        <v>21</v>
      </c>
      <c r="B26" s="5" t="s">
        <v>8</v>
      </c>
      <c r="C26" s="5" t="s">
        <v>38</v>
      </c>
      <c r="D26" s="6">
        <v>8</v>
      </c>
      <c r="E26" s="7">
        <v>46221</v>
      </c>
      <c r="F26" s="7">
        <v>46234</v>
      </c>
      <c r="G26" t="s">
        <v>164</v>
      </c>
      <c r="H26" t="s">
        <v>185</v>
      </c>
      <c r="I26" t="s">
        <v>186</v>
      </c>
      <c r="J26" t="s">
        <v>166</v>
      </c>
      <c r="L26">
        <v>1</v>
      </c>
      <c r="M26" t="s">
        <v>187</v>
      </c>
      <c r="N26">
        <f>VLOOKUP(M26,[1]Sheet2!T:U,2,0)</f>
        <v>1</v>
      </c>
    </row>
    <row r="27" spans="1:14" ht="16.5" x14ac:dyDescent="0.3">
      <c r="A27" s="5" t="s">
        <v>29</v>
      </c>
      <c r="B27" s="5" t="s">
        <v>8</v>
      </c>
      <c r="C27" s="5" t="s">
        <v>39</v>
      </c>
      <c r="D27" s="6">
        <v>18</v>
      </c>
      <c r="E27" s="7">
        <v>46223</v>
      </c>
      <c r="F27" s="7">
        <v>46242</v>
      </c>
      <c r="G27" t="s">
        <v>175</v>
      </c>
      <c r="H27" s="39" t="s">
        <v>188</v>
      </c>
      <c r="I27" s="39" t="s">
        <v>189</v>
      </c>
      <c r="J27" s="38" t="s">
        <v>166</v>
      </c>
      <c r="L27">
        <v>1</v>
      </c>
      <c r="M27" s="39" t="s">
        <v>188</v>
      </c>
      <c r="N27">
        <f>VLOOKUP(M27,[1]Sheet2!T:U,2,0)</f>
        <v>2</v>
      </c>
    </row>
    <row r="28" spans="1:14" ht="16.5" x14ac:dyDescent="0.3">
      <c r="A28" s="5" t="s">
        <v>29</v>
      </c>
      <c r="B28" s="5" t="s">
        <v>8</v>
      </c>
      <c r="C28" s="5" t="s">
        <v>40</v>
      </c>
      <c r="D28" s="6">
        <v>8</v>
      </c>
      <c r="E28" s="7">
        <v>46224</v>
      </c>
      <c r="F28" s="7">
        <v>46235</v>
      </c>
      <c r="G28" t="s">
        <v>175</v>
      </c>
      <c r="H28" t="s">
        <v>176</v>
      </c>
      <c r="I28" s="39" t="s">
        <v>190</v>
      </c>
      <c r="J28" s="38" t="s">
        <v>166</v>
      </c>
      <c r="L28" s="38">
        <v>1</v>
      </c>
      <c r="M28" s="39" t="s">
        <v>191</v>
      </c>
      <c r="N28">
        <f>VLOOKUP(M28,[1]Sheet2!T:U,2,0)</f>
        <v>2</v>
      </c>
    </row>
    <row r="29" spans="1:14" ht="16.5" x14ac:dyDescent="0.3">
      <c r="A29" s="5" t="s">
        <v>29</v>
      </c>
      <c r="B29" s="5" t="s">
        <v>8</v>
      </c>
      <c r="C29" s="5" t="s">
        <v>41</v>
      </c>
      <c r="D29" s="6">
        <v>7</v>
      </c>
      <c r="E29" s="7">
        <v>46225</v>
      </c>
      <c r="F29" s="7">
        <v>46237</v>
      </c>
      <c r="G29" t="s">
        <v>175</v>
      </c>
      <c r="H29" s="39" t="s">
        <v>191</v>
      </c>
      <c r="I29" s="39" t="s">
        <v>189</v>
      </c>
      <c r="J29" s="38" t="s">
        <v>166</v>
      </c>
      <c r="L29" s="38">
        <v>1</v>
      </c>
      <c r="M29" s="39" t="s">
        <v>190</v>
      </c>
      <c r="N29">
        <f>VLOOKUP(M29,[1]Sheet2!T:U,2,0)</f>
        <v>1</v>
      </c>
    </row>
    <row r="30" spans="1:14" ht="16.5" x14ac:dyDescent="0.3">
      <c r="A30" s="5" t="s">
        <v>29</v>
      </c>
      <c r="B30" s="5" t="s">
        <v>8</v>
      </c>
      <c r="C30" s="5" t="s">
        <v>42</v>
      </c>
      <c r="D30" s="6">
        <v>10</v>
      </c>
      <c r="E30" s="7">
        <v>46227</v>
      </c>
      <c r="F30" s="7">
        <v>46239</v>
      </c>
      <c r="G30" t="s">
        <v>175</v>
      </c>
      <c r="H30" s="39" t="s">
        <v>188</v>
      </c>
      <c r="I30" s="39" t="s">
        <v>192</v>
      </c>
      <c r="J30" s="38" t="s">
        <v>166</v>
      </c>
      <c r="L30" s="38">
        <v>1</v>
      </c>
      <c r="M30" s="39" t="s">
        <v>189</v>
      </c>
      <c r="N30">
        <f>VLOOKUP(M30,[1]Sheet2!T:U,2,0)</f>
        <v>3</v>
      </c>
    </row>
    <row r="31" spans="1:14" ht="16.5" x14ac:dyDescent="0.3">
      <c r="A31" s="5" t="s">
        <v>29</v>
      </c>
      <c r="B31" s="5" t="s">
        <v>8</v>
      </c>
      <c r="C31" s="5" t="s">
        <v>43</v>
      </c>
      <c r="D31" s="6">
        <v>10</v>
      </c>
      <c r="E31" s="7">
        <v>46228</v>
      </c>
      <c r="F31" s="7">
        <v>46240</v>
      </c>
      <c r="G31" t="s">
        <v>175</v>
      </c>
      <c r="H31" s="39" t="s">
        <v>191</v>
      </c>
      <c r="I31" t="s">
        <v>177</v>
      </c>
      <c r="J31" s="38" t="s">
        <v>166</v>
      </c>
      <c r="L31" s="38">
        <v>1</v>
      </c>
      <c r="M31" s="39" t="s">
        <v>192</v>
      </c>
      <c r="N31">
        <f>VLOOKUP(M31,[1]Sheet2!T:U,2,0)</f>
        <v>1</v>
      </c>
    </row>
    <row r="32" spans="1:14" ht="16.5" x14ac:dyDescent="0.25">
      <c r="A32" s="5" t="s">
        <v>21</v>
      </c>
      <c r="B32" s="5" t="s">
        <v>8</v>
      </c>
      <c r="C32" s="5" t="s">
        <v>44</v>
      </c>
      <c r="D32" s="6">
        <v>16</v>
      </c>
      <c r="E32" s="7">
        <v>46231</v>
      </c>
      <c r="F32" s="7">
        <v>46247</v>
      </c>
      <c r="G32" t="s">
        <v>164</v>
      </c>
      <c r="H32" t="s">
        <v>165</v>
      </c>
      <c r="I32" t="s">
        <v>187</v>
      </c>
      <c r="J32" t="s">
        <v>166</v>
      </c>
      <c r="L32">
        <v>1</v>
      </c>
      <c r="M32" t="s">
        <v>185</v>
      </c>
      <c r="N32">
        <f>VLOOKUP(M32,[1]Sheet2!T:U,2,0)</f>
        <v>1</v>
      </c>
    </row>
    <row r="33" spans="1:14" ht="16.5" x14ac:dyDescent="0.25">
      <c r="A33" s="5" t="s">
        <v>21</v>
      </c>
      <c r="B33" s="5" t="s">
        <v>8</v>
      </c>
      <c r="C33" s="5" t="s">
        <v>45</v>
      </c>
      <c r="D33" s="6">
        <v>9</v>
      </c>
      <c r="E33" s="7">
        <v>46232</v>
      </c>
      <c r="F33" s="7">
        <v>46242</v>
      </c>
      <c r="G33" t="s">
        <v>164</v>
      </c>
      <c r="H33" t="s">
        <v>165</v>
      </c>
      <c r="I33" t="s">
        <v>186</v>
      </c>
      <c r="J33" t="s">
        <v>166</v>
      </c>
      <c r="L33" s="38">
        <v>1</v>
      </c>
      <c r="M33" t="s">
        <v>166</v>
      </c>
      <c r="N33">
        <f>VLOOKUP(M33,[1]Sheet2!T:U,2,0)</f>
        <v>13</v>
      </c>
    </row>
    <row r="34" spans="1:14" ht="16.5" x14ac:dyDescent="0.3">
      <c r="A34" s="5" t="s">
        <v>46</v>
      </c>
      <c r="B34" s="5" t="s">
        <v>47</v>
      </c>
      <c r="C34" s="5" t="s">
        <v>48</v>
      </c>
      <c r="D34" s="6">
        <v>2</v>
      </c>
      <c r="E34" s="7">
        <v>46216</v>
      </c>
      <c r="F34" s="7">
        <v>46218</v>
      </c>
      <c r="G34" t="s">
        <v>193</v>
      </c>
      <c r="H34" s="39" t="s">
        <v>194</v>
      </c>
      <c r="I34" t="s">
        <v>195</v>
      </c>
      <c r="J34" t="s">
        <v>196</v>
      </c>
      <c r="L34">
        <v>1</v>
      </c>
      <c r="M34" t="s">
        <v>193</v>
      </c>
      <c r="N34">
        <f>VLOOKUP(M34,[1]Sheet2!T:U,2,0)</f>
        <v>6</v>
      </c>
    </row>
    <row r="35" spans="1:14" ht="16.5" x14ac:dyDescent="0.3">
      <c r="A35" s="5" t="s">
        <v>46</v>
      </c>
      <c r="B35" s="5" t="s">
        <v>47</v>
      </c>
      <c r="C35" s="5" t="s">
        <v>49</v>
      </c>
      <c r="D35" s="6">
        <v>2</v>
      </c>
      <c r="E35" s="7">
        <v>46219</v>
      </c>
      <c r="F35" s="7">
        <v>46221</v>
      </c>
      <c r="G35" t="s">
        <v>193</v>
      </c>
      <c r="H35" t="s">
        <v>194</v>
      </c>
      <c r="I35" t="s">
        <v>197</v>
      </c>
      <c r="J35" t="s">
        <v>196</v>
      </c>
      <c r="L35">
        <v>1</v>
      </c>
      <c r="M35" s="39" t="s">
        <v>194</v>
      </c>
      <c r="N35">
        <f>VLOOKUP(M35,[1]Sheet2!T:U,2,0)</f>
        <v>6</v>
      </c>
    </row>
    <row r="36" spans="1:14" ht="16.5" x14ac:dyDescent="0.25">
      <c r="A36" s="5" t="s">
        <v>46</v>
      </c>
      <c r="B36" s="5" t="s">
        <v>47</v>
      </c>
      <c r="C36" s="5" t="s">
        <v>50</v>
      </c>
      <c r="D36" s="6">
        <v>2</v>
      </c>
      <c r="E36" s="7">
        <v>46223</v>
      </c>
      <c r="F36" s="7">
        <v>46225</v>
      </c>
      <c r="G36" t="s">
        <v>193</v>
      </c>
      <c r="H36" t="s">
        <v>194</v>
      </c>
      <c r="I36" t="s">
        <v>198</v>
      </c>
      <c r="J36" t="s">
        <v>196</v>
      </c>
      <c r="L36">
        <v>1</v>
      </c>
      <c r="M36" t="s">
        <v>195</v>
      </c>
      <c r="N36">
        <f>VLOOKUP(M36,[1]Sheet2!T:U,2,0)</f>
        <v>2</v>
      </c>
    </row>
    <row r="37" spans="1:14" ht="16.5" x14ac:dyDescent="0.25">
      <c r="A37" s="5" t="s">
        <v>46</v>
      </c>
      <c r="B37" s="5" t="s">
        <v>47</v>
      </c>
      <c r="C37" s="5" t="s">
        <v>51</v>
      </c>
      <c r="D37" s="6">
        <v>2</v>
      </c>
      <c r="E37" s="7">
        <v>46226</v>
      </c>
      <c r="F37" s="7">
        <v>46228</v>
      </c>
      <c r="G37" t="s">
        <v>193</v>
      </c>
      <c r="H37" t="s">
        <v>194</v>
      </c>
      <c r="I37" t="s">
        <v>199</v>
      </c>
      <c r="J37" t="s">
        <v>196</v>
      </c>
      <c r="L37" s="38">
        <v>1</v>
      </c>
      <c r="M37" t="s">
        <v>197</v>
      </c>
      <c r="N37">
        <f>VLOOKUP(M37,[1]Sheet2!T:U,2,0)</f>
        <v>2</v>
      </c>
    </row>
    <row r="38" spans="1:14" ht="16.5" x14ac:dyDescent="0.25">
      <c r="A38" s="5" t="s">
        <v>46</v>
      </c>
      <c r="B38" s="5" t="s">
        <v>47</v>
      </c>
      <c r="C38" s="5" t="s">
        <v>52</v>
      </c>
      <c r="D38" s="6">
        <v>2</v>
      </c>
      <c r="E38" s="7">
        <v>46230</v>
      </c>
      <c r="F38" s="7">
        <v>46232</v>
      </c>
      <c r="G38" t="s">
        <v>193</v>
      </c>
      <c r="H38" t="s">
        <v>194</v>
      </c>
      <c r="I38" t="s">
        <v>195</v>
      </c>
      <c r="J38" t="s">
        <v>196</v>
      </c>
      <c r="L38" s="38">
        <v>1</v>
      </c>
      <c r="M38" t="s">
        <v>198</v>
      </c>
      <c r="N38">
        <f>VLOOKUP(M38,[1]Sheet2!T:U,2,0)</f>
        <v>1</v>
      </c>
    </row>
    <row r="39" spans="1:14" ht="16.5" x14ac:dyDescent="0.25">
      <c r="A39" s="5" t="s">
        <v>46</v>
      </c>
      <c r="B39" s="5"/>
      <c r="C39" s="5"/>
      <c r="D39" s="6"/>
      <c r="E39" s="7"/>
      <c r="F39" s="7"/>
      <c r="L39" s="38">
        <v>1</v>
      </c>
      <c r="M39" t="s">
        <v>196</v>
      </c>
      <c r="N39">
        <f>VLOOKUP(M39,[1]Sheet2!T:U,2,0)</f>
        <v>13</v>
      </c>
    </row>
    <row r="40" spans="1:14" ht="16.5" x14ac:dyDescent="0.25">
      <c r="A40" s="5" t="s">
        <v>46</v>
      </c>
      <c r="B40" s="5" t="s">
        <v>47</v>
      </c>
      <c r="C40" s="5" t="s">
        <v>53</v>
      </c>
      <c r="D40" s="6">
        <v>2</v>
      </c>
      <c r="E40" s="7">
        <v>46233</v>
      </c>
      <c r="F40" s="7">
        <v>46235</v>
      </c>
      <c r="G40" t="s">
        <v>193</v>
      </c>
      <c r="H40" t="s">
        <v>194</v>
      </c>
      <c r="I40" t="s">
        <v>197</v>
      </c>
      <c r="J40" t="s">
        <v>196</v>
      </c>
      <c r="L40" s="38">
        <v>1</v>
      </c>
      <c r="M40" t="s">
        <v>199</v>
      </c>
      <c r="N40">
        <f>VLOOKUP(M40,[1]Sheet2!T:U,2,0)</f>
        <v>1</v>
      </c>
    </row>
    <row r="41" spans="1:14" ht="16.5" x14ac:dyDescent="0.25">
      <c r="A41" s="5" t="s">
        <v>10</v>
      </c>
      <c r="B41" s="40" t="s">
        <v>55</v>
      </c>
      <c r="C41" s="35" t="s">
        <v>56</v>
      </c>
      <c r="D41" s="13">
        <v>8</v>
      </c>
      <c r="E41" s="7">
        <v>46202</v>
      </c>
      <c r="F41" s="7">
        <v>46210</v>
      </c>
      <c r="G41" t="s">
        <v>154</v>
      </c>
      <c r="H41" s="37" t="s">
        <v>182</v>
      </c>
      <c r="I41" t="s">
        <v>181</v>
      </c>
      <c r="J41" t="s">
        <v>157</v>
      </c>
      <c r="L41">
        <v>1</v>
      </c>
      <c r="M41" t="s">
        <v>156</v>
      </c>
      <c r="N41">
        <f>VLOOKUP(M41,[1]Sheet2!T:U,2,0)</f>
        <v>1</v>
      </c>
    </row>
    <row r="42" spans="1:14" ht="16.5" x14ac:dyDescent="0.25">
      <c r="A42" s="5" t="s">
        <v>10</v>
      </c>
      <c r="B42" s="40" t="s">
        <v>57</v>
      </c>
      <c r="C42" s="35" t="s">
        <v>58</v>
      </c>
      <c r="D42" s="13">
        <v>8</v>
      </c>
      <c r="E42" s="7">
        <v>46230</v>
      </c>
      <c r="F42" s="7">
        <v>46238</v>
      </c>
      <c r="G42" t="s">
        <v>154</v>
      </c>
      <c r="H42" s="37" t="s">
        <v>182</v>
      </c>
      <c r="I42" t="s">
        <v>200</v>
      </c>
      <c r="J42" t="s">
        <v>157</v>
      </c>
      <c r="L42">
        <v>1</v>
      </c>
      <c r="M42" t="s">
        <v>158</v>
      </c>
      <c r="N42">
        <f>VLOOKUP(M42,[1]Sheet2!T:U,2,0)</f>
        <v>1</v>
      </c>
    </row>
    <row r="43" spans="1:14" ht="16.5" x14ac:dyDescent="0.25">
      <c r="A43" s="5" t="s">
        <v>10</v>
      </c>
      <c r="B43" s="40" t="s">
        <v>59</v>
      </c>
      <c r="C43" s="35" t="s">
        <v>60</v>
      </c>
      <c r="D43" s="13">
        <v>5</v>
      </c>
      <c r="E43" s="7">
        <v>46209</v>
      </c>
      <c r="F43" s="7">
        <v>46214</v>
      </c>
      <c r="G43" t="s">
        <v>154</v>
      </c>
      <c r="H43" s="37" t="s">
        <v>182</v>
      </c>
      <c r="I43" t="s">
        <v>201</v>
      </c>
      <c r="J43" t="s">
        <v>157</v>
      </c>
      <c r="L43">
        <v>1</v>
      </c>
      <c r="M43" t="s">
        <v>181</v>
      </c>
      <c r="N43">
        <f>VLOOKUP(M43,[1]Sheet2!T:U,2,0)</f>
        <v>2</v>
      </c>
    </row>
    <row r="44" spans="1:14" ht="16.5" x14ac:dyDescent="0.25">
      <c r="A44" s="5" t="s">
        <v>10</v>
      </c>
      <c r="B44" s="40"/>
      <c r="C44" s="35"/>
      <c r="D44" s="13"/>
      <c r="E44" s="7"/>
      <c r="F44" s="7"/>
      <c r="L44">
        <v>1</v>
      </c>
      <c r="M44" t="s">
        <v>200</v>
      </c>
      <c r="N44">
        <f>VLOOKUP(M44,[1]Sheet2!T:U,2,0)</f>
        <v>1</v>
      </c>
    </row>
    <row r="45" spans="1:14" ht="16.5" x14ac:dyDescent="0.25">
      <c r="A45" s="5"/>
      <c r="B45" s="40"/>
      <c r="C45" s="35"/>
      <c r="D45" s="13"/>
      <c r="E45" s="7"/>
      <c r="F45" s="7"/>
      <c r="L45">
        <v>1</v>
      </c>
      <c r="M45" t="s">
        <v>157</v>
      </c>
      <c r="N45">
        <f>VLOOKUP(M45,[1]Sheet2!T:U,2,0)</f>
        <v>16</v>
      </c>
    </row>
    <row r="46" spans="1:14" ht="16.5" x14ac:dyDescent="0.25">
      <c r="A46" s="5" t="s">
        <v>10</v>
      </c>
      <c r="B46" s="40"/>
      <c r="C46" s="35"/>
      <c r="D46" s="13"/>
      <c r="E46" s="7"/>
      <c r="F46" s="7"/>
      <c r="L46">
        <v>1</v>
      </c>
      <c r="M46" t="s">
        <v>201</v>
      </c>
      <c r="N46">
        <f>VLOOKUP(M46,[1]Sheet2!T:U,2,0)</f>
        <v>1</v>
      </c>
    </row>
    <row r="47" spans="1:14" ht="16.5" x14ac:dyDescent="0.3">
      <c r="A47" s="5" t="s">
        <v>18</v>
      </c>
      <c r="B47" s="40" t="s">
        <v>61</v>
      </c>
      <c r="C47" s="5" t="s">
        <v>62</v>
      </c>
      <c r="D47" s="13">
        <v>5</v>
      </c>
      <c r="E47" s="7">
        <v>46217</v>
      </c>
      <c r="F47" s="7">
        <v>46222</v>
      </c>
      <c r="G47" t="s">
        <v>159</v>
      </c>
      <c r="H47" t="s">
        <v>159</v>
      </c>
      <c r="I47" s="39" t="s">
        <v>202</v>
      </c>
      <c r="J47" t="s">
        <v>161</v>
      </c>
      <c r="L47">
        <v>1</v>
      </c>
      <c r="M47" t="s">
        <v>160</v>
      </c>
      <c r="N47">
        <f>VLOOKUP(M47,[1]Sheet2!T:U,2,0)</f>
        <v>1</v>
      </c>
    </row>
    <row r="48" spans="1:14" ht="16.5" x14ac:dyDescent="0.3">
      <c r="A48" s="5" t="s">
        <v>18</v>
      </c>
      <c r="B48" s="40" t="s">
        <v>63</v>
      </c>
      <c r="C48" s="5" t="s">
        <v>64</v>
      </c>
      <c r="D48" s="13">
        <v>3</v>
      </c>
      <c r="E48" s="7">
        <v>46216</v>
      </c>
      <c r="F48" s="7">
        <v>46219</v>
      </c>
      <c r="G48" t="s">
        <v>159</v>
      </c>
      <c r="H48" t="s">
        <v>159</v>
      </c>
      <c r="I48" s="39" t="s">
        <v>203</v>
      </c>
      <c r="J48" t="s">
        <v>161</v>
      </c>
      <c r="L48">
        <v>1</v>
      </c>
      <c r="M48" t="s">
        <v>204</v>
      </c>
      <c r="N48">
        <f>VLOOKUP(M48,[1]Sheet2!T:U,2,0)</f>
        <v>2</v>
      </c>
    </row>
    <row r="49" spans="1:14" ht="16.5" x14ac:dyDescent="0.3">
      <c r="A49" s="5" t="s">
        <v>18</v>
      </c>
      <c r="B49" s="40" t="s">
        <v>65</v>
      </c>
      <c r="C49" s="5" t="s">
        <v>66</v>
      </c>
      <c r="D49" s="13">
        <v>4</v>
      </c>
      <c r="E49" s="7">
        <v>46223</v>
      </c>
      <c r="F49" s="7">
        <v>46227</v>
      </c>
      <c r="G49" t="s">
        <v>159</v>
      </c>
      <c r="H49" t="s">
        <v>159</v>
      </c>
      <c r="I49" s="39" t="s">
        <v>203</v>
      </c>
      <c r="J49" t="s">
        <v>161</v>
      </c>
      <c r="L49">
        <v>1</v>
      </c>
      <c r="M49" t="s">
        <v>205</v>
      </c>
      <c r="N49">
        <f>VLOOKUP(M49,[1]Sheet2!T:U,2,0)</f>
        <v>1</v>
      </c>
    </row>
    <row r="50" spans="1:14" ht="16.5" x14ac:dyDescent="0.25">
      <c r="A50" s="5" t="s">
        <v>18</v>
      </c>
      <c r="B50" s="40" t="s">
        <v>57</v>
      </c>
      <c r="C50" s="5" t="s">
        <v>67</v>
      </c>
      <c r="D50" s="13">
        <v>6</v>
      </c>
      <c r="E50" s="7">
        <v>46244</v>
      </c>
      <c r="F50" s="7">
        <v>46250</v>
      </c>
      <c r="G50" t="s">
        <v>159</v>
      </c>
      <c r="H50" t="s">
        <v>159</v>
      </c>
      <c r="I50" t="s">
        <v>204</v>
      </c>
      <c r="J50" t="s">
        <v>161</v>
      </c>
      <c r="L50">
        <v>1</v>
      </c>
      <c r="M50" t="s">
        <v>206</v>
      </c>
    </row>
    <row r="51" spans="1:14" ht="16.5" x14ac:dyDescent="0.3">
      <c r="A51" s="5" t="s">
        <v>18</v>
      </c>
      <c r="B51" s="40" t="s">
        <v>59</v>
      </c>
      <c r="C51" s="5" t="s">
        <v>68</v>
      </c>
      <c r="D51" s="13">
        <v>5</v>
      </c>
      <c r="E51" s="7">
        <v>46216</v>
      </c>
      <c r="F51" s="7">
        <v>46221</v>
      </c>
      <c r="G51" t="s">
        <v>159</v>
      </c>
      <c r="H51" t="s">
        <v>159</v>
      </c>
      <c r="I51" t="s">
        <v>204</v>
      </c>
      <c r="J51" t="s">
        <v>161</v>
      </c>
      <c r="L51">
        <v>1</v>
      </c>
      <c r="M51" s="39" t="s">
        <v>203</v>
      </c>
      <c r="N51">
        <f>VLOOKUP(M51,[1]Sheet2!T:U,2,0)</f>
        <v>2</v>
      </c>
    </row>
    <row r="52" spans="1:14" ht="16.5" x14ac:dyDescent="0.3">
      <c r="A52" s="5" t="s">
        <v>18</v>
      </c>
      <c r="B52" s="40" t="s">
        <v>65</v>
      </c>
      <c r="C52" s="5" t="s">
        <v>69</v>
      </c>
      <c r="D52" s="13">
        <v>4</v>
      </c>
      <c r="E52" s="7">
        <v>46230</v>
      </c>
      <c r="F52" s="7">
        <v>46234</v>
      </c>
      <c r="G52" t="s">
        <v>159</v>
      </c>
      <c r="H52" t="s">
        <v>159</v>
      </c>
      <c r="I52" t="s">
        <v>162</v>
      </c>
      <c r="J52" t="s">
        <v>161</v>
      </c>
      <c r="L52">
        <v>1</v>
      </c>
      <c r="M52" s="39" t="s">
        <v>202</v>
      </c>
      <c r="N52">
        <f>VLOOKUP(M52,[1]Sheet2!T:U,2,0)</f>
        <v>2</v>
      </c>
    </row>
    <row r="53" spans="1:14" ht="16.5" x14ac:dyDescent="0.3">
      <c r="A53" s="5" t="s">
        <v>18</v>
      </c>
      <c r="B53" s="40" t="s">
        <v>61</v>
      </c>
      <c r="C53" s="5" t="s">
        <v>70</v>
      </c>
      <c r="D53" s="13">
        <v>4</v>
      </c>
      <c r="E53" s="7">
        <v>46233</v>
      </c>
      <c r="F53" s="7">
        <v>46237</v>
      </c>
      <c r="G53" t="s">
        <v>159</v>
      </c>
      <c r="H53" t="s">
        <v>163</v>
      </c>
      <c r="I53" s="39" t="s">
        <v>202</v>
      </c>
      <c r="J53" t="s">
        <v>161</v>
      </c>
      <c r="L53">
        <v>1</v>
      </c>
      <c r="M53" s="38" t="s">
        <v>161</v>
      </c>
      <c r="N53">
        <f>VLOOKUP(M53,[1]Sheet2!T:U,2,0)</f>
        <v>10</v>
      </c>
    </row>
    <row r="54" spans="1:14" ht="16.5" x14ac:dyDescent="0.25">
      <c r="A54" s="5" t="s">
        <v>18</v>
      </c>
      <c r="B54" s="40" t="s">
        <v>61</v>
      </c>
      <c r="C54" s="5" t="s">
        <v>71</v>
      </c>
      <c r="D54" s="13">
        <v>4</v>
      </c>
      <c r="E54" s="7">
        <v>46213</v>
      </c>
      <c r="F54" s="7">
        <v>46217</v>
      </c>
      <c r="G54" t="s">
        <v>159</v>
      </c>
      <c r="H54" t="s">
        <v>163</v>
      </c>
      <c r="I54" t="s">
        <v>205</v>
      </c>
      <c r="J54" t="s">
        <v>161</v>
      </c>
      <c r="M54" s="38"/>
    </row>
    <row r="55" spans="1:14" ht="16.5" x14ac:dyDescent="0.25">
      <c r="A55" s="5" t="s">
        <v>21</v>
      </c>
      <c r="B55" s="40" t="s">
        <v>72</v>
      </c>
      <c r="C55" s="15" t="s">
        <v>73</v>
      </c>
      <c r="D55" s="13">
        <v>24</v>
      </c>
      <c r="E55" s="7">
        <v>46201</v>
      </c>
      <c r="F55" s="7">
        <v>46225</v>
      </c>
      <c r="G55" t="s">
        <v>164</v>
      </c>
      <c r="H55" t="s">
        <v>164</v>
      </c>
      <c r="I55" t="s">
        <v>165</v>
      </c>
      <c r="J55" t="s">
        <v>166</v>
      </c>
      <c r="L55">
        <v>1</v>
      </c>
      <c r="M55" t="s">
        <v>165</v>
      </c>
      <c r="N55">
        <f>VLOOKUP(M55,[1]Sheet2!T:U,2,0)</f>
        <v>4</v>
      </c>
    </row>
    <row r="56" spans="1:14" ht="16.5" x14ac:dyDescent="0.25">
      <c r="A56" s="5" t="s">
        <v>21</v>
      </c>
      <c r="B56" s="40"/>
      <c r="C56" s="15"/>
      <c r="D56" s="13"/>
      <c r="E56" s="7"/>
      <c r="F56" s="7"/>
      <c r="L56">
        <v>1</v>
      </c>
      <c r="M56" t="s">
        <v>186</v>
      </c>
      <c r="N56">
        <f>VLOOKUP(M56,[1]Sheet2!T:U,2,0)</f>
        <v>2</v>
      </c>
    </row>
    <row r="57" spans="1:14" ht="16.5" x14ac:dyDescent="0.25">
      <c r="A57" s="5" t="s">
        <v>74</v>
      </c>
      <c r="B57" s="40" t="s">
        <v>59</v>
      </c>
      <c r="C57" s="15" t="s">
        <v>207</v>
      </c>
      <c r="D57" s="13">
        <v>2</v>
      </c>
      <c r="E57" s="7">
        <v>46202</v>
      </c>
      <c r="F57" s="7">
        <v>46204</v>
      </c>
      <c r="G57" t="s">
        <v>208</v>
      </c>
      <c r="H57" t="s">
        <v>209</v>
      </c>
      <c r="I57" t="s">
        <v>210</v>
      </c>
      <c r="J57" t="s">
        <v>196</v>
      </c>
      <c r="L57">
        <v>1</v>
      </c>
      <c r="M57" t="s">
        <v>208</v>
      </c>
      <c r="N57">
        <f>VLOOKUP(M57,[1]Sheet2!T:U,2,0)</f>
        <v>21</v>
      </c>
    </row>
    <row r="58" spans="1:14" ht="16.5" x14ac:dyDescent="0.25">
      <c r="A58" s="5" t="s">
        <v>74</v>
      </c>
      <c r="B58" s="40" t="s">
        <v>59</v>
      </c>
      <c r="C58" s="15" t="s">
        <v>207</v>
      </c>
      <c r="D58" s="13">
        <v>2</v>
      </c>
      <c r="E58" s="7">
        <v>46205</v>
      </c>
      <c r="F58" s="7">
        <v>46207</v>
      </c>
      <c r="G58" t="s">
        <v>208</v>
      </c>
      <c r="H58" t="s">
        <v>208</v>
      </c>
      <c r="I58" t="s">
        <v>211</v>
      </c>
      <c r="J58" t="s">
        <v>196</v>
      </c>
      <c r="L58">
        <v>1</v>
      </c>
      <c r="M58" t="s">
        <v>209</v>
      </c>
      <c r="N58">
        <f>VLOOKUP(M58,[1]Sheet2!T:U,2,0)</f>
        <v>5</v>
      </c>
    </row>
    <row r="59" spans="1:14" ht="16.5" x14ac:dyDescent="0.25">
      <c r="A59" s="5" t="s">
        <v>74</v>
      </c>
      <c r="B59" s="40" t="s">
        <v>59</v>
      </c>
      <c r="C59" s="15" t="s">
        <v>207</v>
      </c>
      <c r="D59" s="13">
        <v>2</v>
      </c>
      <c r="E59" s="7">
        <v>46208</v>
      </c>
      <c r="F59" s="7">
        <v>46210</v>
      </c>
      <c r="G59" t="s">
        <v>208</v>
      </c>
      <c r="H59" t="s">
        <v>212</v>
      </c>
      <c r="I59" t="s">
        <v>213</v>
      </c>
      <c r="J59" t="s">
        <v>196</v>
      </c>
      <c r="L59">
        <v>1</v>
      </c>
      <c r="M59" t="s">
        <v>214</v>
      </c>
      <c r="N59">
        <f>VLOOKUP(M59,[1]Sheet2!T:U,2,0)</f>
        <v>4</v>
      </c>
    </row>
    <row r="60" spans="1:14" ht="16.5" x14ac:dyDescent="0.25">
      <c r="A60" s="5" t="s">
        <v>74</v>
      </c>
      <c r="B60" s="40" t="s">
        <v>59</v>
      </c>
      <c r="C60" s="15" t="s">
        <v>207</v>
      </c>
      <c r="D60" s="13">
        <v>2</v>
      </c>
      <c r="E60" s="7">
        <v>46211</v>
      </c>
      <c r="F60" s="7">
        <v>46213</v>
      </c>
      <c r="G60" t="s">
        <v>208</v>
      </c>
      <c r="H60" t="s">
        <v>214</v>
      </c>
      <c r="I60" t="s">
        <v>215</v>
      </c>
      <c r="J60" t="s">
        <v>196</v>
      </c>
      <c r="L60">
        <v>1</v>
      </c>
      <c r="M60" t="s">
        <v>213</v>
      </c>
      <c r="N60">
        <f>VLOOKUP(M60,[1]Sheet2!T:U,2,0)</f>
        <v>2</v>
      </c>
    </row>
    <row r="61" spans="1:14" ht="16.5" x14ac:dyDescent="0.25">
      <c r="A61" s="5" t="s">
        <v>74</v>
      </c>
      <c r="B61" s="40" t="s">
        <v>59</v>
      </c>
      <c r="C61" s="15" t="s">
        <v>207</v>
      </c>
      <c r="D61" s="13">
        <v>2</v>
      </c>
      <c r="E61" s="7">
        <v>46214</v>
      </c>
      <c r="F61" s="7">
        <v>46216</v>
      </c>
      <c r="G61" t="s">
        <v>208</v>
      </c>
      <c r="H61" t="s">
        <v>212</v>
      </c>
      <c r="I61" t="s">
        <v>213</v>
      </c>
      <c r="J61" t="s">
        <v>196</v>
      </c>
      <c r="L61">
        <v>1</v>
      </c>
      <c r="M61" t="s">
        <v>210</v>
      </c>
      <c r="N61">
        <f>VLOOKUP(M61,[1]Sheet2!T:U,2,0)</f>
        <v>2</v>
      </c>
    </row>
    <row r="62" spans="1:14" ht="16.5" x14ac:dyDescent="0.25">
      <c r="A62" s="5" t="s">
        <v>74</v>
      </c>
      <c r="B62" s="40" t="s">
        <v>59</v>
      </c>
      <c r="C62" s="15" t="s">
        <v>207</v>
      </c>
      <c r="D62" s="13">
        <v>2</v>
      </c>
      <c r="E62" s="7">
        <v>46217</v>
      </c>
      <c r="F62" s="7">
        <v>46219</v>
      </c>
      <c r="G62" t="s">
        <v>208</v>
      </c>
      <c r="H62" t="s">
        <v>209</v>
      </c>
      <c r="I62" t="s">
        <v>210</v>
      </c>
      <c r="J62" t="s">
        <v>196</v>
      </c>
      <c r="L62">
        <v>1</v>
      </c>
      <c r="M62" t="s">
        <v>211</v>
      </c>
      <c r="N62">
        <f>VLOOKUP(M62,[1]Sheet2!T:U,2,0)</f>
        <v>2</v>
      </c>
    </row>
    <row r="63" spans="1:14" ht="16.5" x14ac:dyDescent="0.3">
      <c r="A63" s="5" t="s">
        <v>74</v>
      </c>
      <c r="B63" s="40"/>
      <c r="C63" s="15"/>
      <c r="D63" s="13"/>
      <c r="E63" s="7"/>
      <c r="F63" s="7"/>
      <c r="I63" s="41"/>
      <c r="L63">
        <v>1</v>
      </c>
      <c r="M63" t="s">
        <v>196</v>
      </c>
      <c r="N63">
        <f>VLOOKUP(M63,[1]Sheet2!T:U,2,0)</f>
        <v>13</v>
      </c>
    </row>
    <row r="64" spans="1:14" ht="16.5" x14ac:dyDescent="0.3">
      <c r="A64" s="5" t="s">
        <v>74</v>
      </c>
      <c r="B64" s="40"/>
      <c r="C64" s="15"/>
      <c r="D64" s="13"/>
      <c r="E64" s="7"/>
      <c r="F64" s="7"/>
      <c r="I64" s="41"/>
      <c r="L64">
        <v>1</v>
      </c>
      <c r="M64" t="s">
        <v>215</v>
      </c>
      <c r="N64">
        <f>VLOOKUP(M64,[1]Sheet2!T:U,2,0)</f>
        <v>1</v>
      </c>
    </row>
    <row r="65" spans="1:14" ht="16.5" x14ac:dyDescent="0.3">
      <c r="A65" s="5" t="s">
        <v>74</v>
      </c>
      <c r="B65" s="40"/>
      <c r="C65" s="15"/>
      <c r="D65" s="13"/>
      <c r="E65" s="7"/>
      <c r="F65" s="7"/>
      <c r="I65" s="41"/>
      <c r="L65">
        <v>1</v>
      </c>
      <c r="M65" t="s">
        <v>212</v>
      </c>
      <c r="N65">
        <f>VLOOKUP(M65,[1]Sheet2!T:U,2,0)</f>
        <v>2</v>
      </c>
    </row>
    <row r="66" spans="1:14" ht="16.5" x14ac:dyDescent="0.25">
      <c r="A66" s="5" t="s">
        <v>74</v>
      </c>
      <c r="B66" s="40" t="s">
        <v>59</v>
      </c>
      <c r="C66" s="15" t="s">
        <v>207</v>
      </c>
      <c r="D66" s="13">
        <v>3</v>
      </c>
      <c r="E66" s="7">
        <v>46220</v>
      </c>
      <c r="F66" s="7">
        <v>46223</v>
      </c>
      <c r="G66" t="s">
        <v>208</v>
      </c>
      <c r="H66" t="s">
        <v>214</v>
      </c>
      <c r="I66" t="s">
        <v>211</v>
      </c>
      <c r="J66" t="s">
        <v>196</v>
      </c>
    </row>
    <row r="67" spans="1:14" ht="16.5" x14ac:dyDescent="0.25">
      <c r="A67" s="5" t="s">
        <v>83</v>
      </c>
      <c r="B67" s="40" t="s">
        <v>84</v>
      </c>
      <c r="C67" s="5" t="s">
        <v>216</v>
      </c>
      <c r="D67" s="13">
        <v>2</v>
      </c>
      <c r="E67" s="7">
        <v>46209</v>
      </c>
      <c r="F67" s="7">
        <v>46211</v>
      </c>
      <c r="G67" t="s">
        <v>208</v>
      </c>
      <c r="H67" t="s">
        <v>208</v>
      </c>
      <c r="I67" t="s">
        <v>217</v>
      </c>
      <c r="J67" s="38" t="s">
        <v>218</v>
      </c>
    </row>
    <row r="68" spans="1:14" ht="16.5" x14ac:dyDescent="0.25">
      <c r="A68" s="5" t="s">
        <v>83</v>
      </c>
      <c r="B68" s="40" t="s">
        <v>84</v>
      </c>
      <c r="C68" s="5" t="s">
        <v>216</v>
      </c>
      <c r="D68" s="13">
        <v>1</v>
      </c>
      <c r="E68" s="7">
        <v>46212</v>
      </c>
      <c r="F68" s="7">
        <v>46213</v>
      </c>
      <c r="G68" t="s">
        <v>208</v>
      </c>
      <c r="H68" t="s">
        <v>209</v>
      </c>
      <c r="I68" t="s">
        <v>219</v>
      </c>
      <c r="J68" s="38" t="s">
        <v>218</v>
      </c>
      <c r="L68">
        <v>1</v>
      </c>
      <c r="M68" t="s">
        <v>220</v>
      </c>
      <c r="N68">
        <f>VLOOKUP(M68,[1]Sheet2!T:U,2,0)</f>
        <v>2</v>
      </c>
    </row>
    <row r="69" spans="1:14" ht="16.5" x14ac:dyDescent="0.25">
      <c r="A69" s="5" t="s">
        <v>83</v>
      </c>
      <c r="B69" s="40" t="s">
        <v>84</v>
      </c>
      <c r="C69" s="5" t="s">
        <v>216</v>
      </c>
      <c r="D69" s="13">
        <v>2</v>
      </c>
      <c r="E69" s="7">
        <v>46214</v>
      </c>
      <c r="F69" s="7">
        <v>46216</v>
      </c>
      <c r="G69" t="s">
        <v>208</v>
      </c>
      <c r="H69" t="s">
        <v>221</v>
      </c>
      <c r="I69" t="s">
        <v>222</v>
      </c>
      <c r="J69" s="38" t="s">
        <v>218</v>
      </c>
      <c r="L69">
        <v>1</v>
      </c>
      <c r="M69" t="s">
        <v>219</v>
      </c>
      <c r="N69">
        <f>VLOOKUP(M69,[1]Sheet2!T:U,2,0)</f>
        <v>3</v>
      </c>
    </row>
    <row r="70" spans="1:14" ht="16.5" x14ac:dyDescent="0.25">
      <c r="A70" s="5" t="s">
        <v>83</v>
      </c>
      <c r="B70" s="40" t="s">
        <v>84</v>
      </c>
      <c r="C70" s="5" t="s">
        <v>216</v>
      </c>
      <c r="D70" s="13">
        <v>1</v>
      </c>
      <c r="E70" s="7">
        <v>46217</v>
      </c>
      <c r="F70" s="7">
        <v>46218</v>
      </c>
      <c r="G70" t="s">
        <v>208</v>
      </c>
      <c r="H70" t="s">
        <v>214</v>
      </c>
      <c r="I70" t="s">
        <v>217</v>
      </c>
      <c r="J70" s="38" t="s">
        <v>218</v>
      </c>
      <c r="L70">
        <v>1</v>
      </c>
      <c r="M70" t="s">
        <v>222</v>
      </c>
      <c r="N70">
        <f>VLOOKUP(M70,[1]Sheet2!T:U,2,0)</f>
        <v>2</v>
      </c>
    </row>
    <row r="71" spans="1:14" ht="16.5" x14ac:dyDescent="0.25">
      <c r="A71" s="5" t="s">
        <v>83</v>
      </c>
      <c r="B71" s="40" t="s">
        <v>84</v>
      </c>
      <c r="C71" s="5" t="s">
        <v>216</v>
      </c>
      <c r="D71" s="13">
        <v>1</v>
      </c>
      <c r="E71" s="7">
        <v>46219</v>
      </c>
      <c r="F71" s="7">
        <v>46220</v>
      </c>
      <c r="G71" t="s">
        <v>208</v>
      </c>
      <c r="H71" t="s">
        <v>221</v>
      </c>
      <c r="I71" t="s">
        <v>220</v>
      </c>
      <c r="J71" s="38" t="s">
        <v>218</v>
      </c>
      <c r="L71">
        <v>1</v>
      </c>
      <c r="M71" t="s">
        <v>217</v>
      </c>
      <c r="N71">
        <f>VLOOKUP(M71,[1]Sheet2!T:U,2,0)</f>
        <v>4</v>
      </c>
    </row>
    <row r="72" spans="1:14" ht="16.5" x14ac:dyDescent="0.25">
      <c r="A72" s="5" t="s">
        <v>83</v>
      </c>
      <c r="B72" s="40" t="s">
        <v>84</v>
      </c>
      <c r="C72" s="5" t="s">
        <v>216</v>
      </c>
      <c r="D72" s="13">
        <v>2</v>
      </c>
      <c r="E72" s="7">
        <v>46221</v>
      </c>
      <c r="F72" s="7">
        <v>46223</v>
      </c>
      <c r="G72" t="s">
        <v>208</v>
      </c>
      <c r="H72" t="s">
        <v>209</v>
      </c>
      <c r="I72" t="s">
        <v>219</v>
      </c>
      <c r="J72" s="38" t="s">
        <v>218</v>
      </c>
      <c r="L72">
        <v>1</v>
      </c>
      <c r="M72" t="s">
        <v>221</v>
      </c>
      <c r="N72">
        <f>VLOOKUP(M72,[1]Sheet2!T:U,2,0)</f>
        <v>4</v>
      </c>
    </row>
    <row r="73" spans="1:14" ht="16.5" x14ac:dyDescent="0.25">
      <c r="A73" s="5" t="s">
        <v>83</v>
      </c>
      <c r="B73" s="40" t="s">
        <v>84</v>
      </c>
      <c r="C73" s="5" t="s">
        <v>216</v>
      </c>
      <c r="D73" s="13">
        <v>1</v>
      </c>
      <c r="E73" s="7">
        <v>46224</v>
      </c>
      <c r="F73" s="7">
        <v>46225</v>
      </c>
      <c r="G73" t="s">
        <v>208</v>
      </c>
      <c r="H73" t="s">
        <v>221</v>
      </c>
      <c r="I73" t="s">
        <v>222</v>
      </c>
      <c r="J73" s="38" t="s">
        <v>218</v>
      </c>
      <c r="L73">
        <v>1</v>
      </c>
      <c r="M73" s="38" t="s">
        <v>218</v>
      </c>
      <c r="N73">
        <f>VLOOKUP(M73,[1]Sheet2!T:U,2,0)</f>
        <v>11</v>
      </c>
    </row>
    <row r="74" spans="1:14" ht="16.5" x14ac:dyDescent="0.25">
      <c r="A74" s="5" t="s">
        <v>83</v>
      </c>
      <c r="B74" s="40" t="s">
        <v>84</v>
      </c>
      <c r="C74" s="5" t="s">
        <v>216</v>
      </c>
      <c r="D74" s="13">
        <v>1</v>
      </c>
      <c r="E74" s="7">
        <v>46226</v>
      </c>
      <c r="F74" s="7">
        <v>46227</v>
      </c>
      <c r="G74" t="s">
        <v>208</v>
      </c>
      <c r="H74" t="s">
        <v>214</v>
      </c>
      <c r="I74" t="s">
        <v>217</v>
      </c>
      <c r="J74" s="38" t="s">
        <v>218</v>
      </c>
    </row>
    <row r="75" spans="1:14" ht="16.5" x14ac:dyDescent="0.25">
      <c r="A75" s="5" t="s">
        <v>83</v>
      </c>
      <c r="B75" s="40" t="s">
        <v>84</v>
      </c>
      <c r="C75" s="5" t="s">
        <v>216</v>
      </c>
      <c r="D75" s="13">
        <v>2</v>
      </c>
      <c r="E75" s="7">
        <v>46228</v>
      </c>
      <c r="F75" s="7">
        <v>46230</v>
      </c>
      <c r="G75" t="s">
        <v>208</v>
      </c>
      <c r="H75" t="s">
        <v>208</v>
      </c>
      <c r="I75" t="s">
        <v>220</v>
      </c>
      <c r="J75" s="38" t="s">
        <v>218</v>
      </c>
    </row>
    <row r="76" spans="1:14" ht="16.5" x14ac:dyDescent="0.25">
      <c r="A76" s="5" t="s">
        <v>83</v>
      </c>
      <c r="B76" s="40" t="s">
        <v>84</v>
      </c>
      <c r="C76" s="5" t="s">
        <v>216</v>
      </c>
      <c r="D76" s="13">
        <v>1</v>
      </c>
      <c r="E76" s="7">
        <v>46231</v>
      </c>
      <c r="F76" s="7">
        <v>46232</v>
      </c>
      <c r="G76" t="s">
        <v>208</v>
      </c>
      <c r="H76" t="s">
        <v>209</v>
      </c>
      <c r="I76" t="s">
        <v>219</v>
      </c>
      <c r="J76" s="38" t="s">
        <v>218</v>
      </c>
    </row>
    <row r="77" spans="1:14" ht="16.5" x14ac:dyDescent="0.25">
      <c r="A77" s="5" t="s">
        <v>83</v>
      </c>
      <c r="B77" s="40" t="s">
        <v>84</v>
      </c>
      <c r="C77" s="5" t="s">
        <v>216</v>
      </c>
      <c r="D77" s="13">
        <v>1</v>
      </c>
      <c r="E77" s="7">
        <v>46233</v>
      </c>
      <c r="F77" s="7">
        <v>46234</v>
      </c>
      <c r="G77" t="s">
        <v>208</v>
      </c>
      <c r="H77" t="s">
        <v>221</v>
      </c>
      <c r="I77" t="s">
        <v>217</v>
      </c>
      <c r="J77" s="38" t="s">
        <v>218</v>
      </c>
    </row>
    <row r="78" spans="1:14" ht="16.5" x14ac:dyDescent="0.25">
      <c r="A78" s="5" t="s">
        <v>29</v>
      </c>
      <c r="B78" s="40"/>
      <c r="C78" s="5"/>
      <c r="D78" s="13"/>
      <c r="E78" s="7"/>
      <c r="F78" s="7"/>
      <c r="J78" s="38"/>
      <c r="L78" s="38">
        <v>1</v>
      </c>
      <c r="M78" s="38" t="s">
        <v>166</v>
      </c>
      <c r="N78">
        <f>VLOOKUP(M78,[1]Sheet2!T:U,2,0)</f>
        <v>13</v>
      </c>
    </row>
    <row r="79" spans="1:14" ht="16.5" x14ac:dyDescent="0.3">
      <c r="A79" s="5" t="s">
        <v>29</v>
      </c>
      <c r="B79" s="5" t="s">
        <v>97</v>
      </c>
      <c r="C79" s="5" t="s">
        <v>98</v>
      </c>
      <c r="D79" s="13">
        <v>15</v>
      </c>
      <c r="E79" s="7">
        <v>46204</v>
      </c>
      <c r="F79" s="7">
        <v>46219</v>
      </c>
      <c r="G79" t="s">
        <v>175</v>
      </c>
      <c r="H79" t="s">
        <v>178</v>
      </c>
      <c r="I79" s="39" t="s">
        <v>189</v>
      </c>
      <c r="J79" s="38" t="s">
        <v>166</v>
      </c>
      <c r="L79">
        <v>1</v>
      </c>
      <c r="M79" t="s">
        <v>178</v>
      </c>
      <c r="N79">
        <f>VLOOKUP(M79,[1]Sheet2!T:U,2,0)</f>
        <v>2</v>
      </c>
    </row>
    <row r="80" spans="1:14" ht="16.5" x14ac:dyDescent="0.25">
      <c r="A80" s="5" t="s">
        <v>29</v>
      </c>
      <c r="B80" s="40"/>
      <c r="C80" s="5"/>
      <c r="D80" s="13"/>
      <c r="E80" s="7"/>
      <c r="F80" s="7"/>
      <c r="I80" s="42"/>
      <c r="L80">
        <v>1</v>
      </c>
      <c r="M80" t="s">
        <v>177</v>
      </c>
      <c r="N80">
        <f>VLOOKUP(M80,[1]Sheet2!T:U,2,0)</f>
        <v>2</v>
      </c>
    </row>
    <row r="81" spans="1:14" ht="16.5" x14ac:dyDescent="0.25">
      <c r="A81" s="5"/>
      <c r="B81" s="40"/>
      <c r="C81" s="5"/>
      <c r="D81" s="13"/>
      <c r="E81" s="7"/>
      <c r="F81" s="7"/>
      <c r="I81" s="42"/>
      <c r="L81" s="38">
        <v>1</v>
      </c>
      <c r="M81" s="38" t="s">
        <v>157</v>
      </c>
      <c r="N81">
        <f>VLOOKUP(M81,[1]Sheet2!T:U,2,0)</f>
        <v>16</v>
      </c>
    </row>
    <row r="82" spans="1:14" ht="16.5" x14ac:dyDescent="0.3">
      <c r="A82" s="5"/>
      <c r="B82" s="40"/>
      <c r="C82" s="5"/>
      <c r="D82" s="13"/>
      <c r="E82" s="7"/>
      <c r="F82" s="7"/>
      <c r="I82" s="42"/>
      <c r="L82" s="38">
        <v>1</v>
      </c>
      <c r="M82" s="41" t="s">
        <v>157</v>
      </c>
      <c r="N82">
        <f>VLOOKUP(M82,[1]Sheet2!T:U,2,0)</f>
        <v>16</v>
      </c>
    </row>
    <row r="83" spans="1:14" ht="16.5" x14ac:dyDescent="0.25">
      <c r="A83" s="5" t="s">
        <v>29</v>
      </c>
      <c r="B83" s="5"/>
      <c r="C83" s="5"/>
      <c r="D83" s="13"/>
      <c r="E83" s="7"/>
      <c r="F83" s="7"/>
      <c r="L83">
        <v>1</v>
      </c>
      <c r="M83" t="s">
        <v>179</v>
      </c>
      <c r="N83">
        <f>VLOOKUP(M83,[1]Sheet2!T:U,2,0)</f>
        <v>1</v>
      </c>
    </row>
    <row r="84" spans="1:14" ht="16.5" x14ac:dyDescent="0.25">
      <c r="A84" s="5"/>
    </row>
  </sheetData>
  <autoFilter ref="A1:N8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4"/>
  <sheetViews>
    <sheetView topLeftCell="A8" workbookViewId="0">
      <selection activeCell="E11" sqref="E11"/>
    </sheetView>
  </sheetViews>
  <sheetFormatPr defaultRowHeight="16.5" thickBottom="1" x14ac:dyDescent="0.3"/>
  <cols>
    <col min="1" max="1" width="9.140625" style="22"/>
    <col min="2" max="2" width="24.85546875" style="21" customWidth="1"/>
    <col min="3" max="3" width="26.140625" style="21" customWidth="1"/>
    <col min="4" max="4" width="22.28515625" style="22" customWidth="1"/>
    <col min="5" max="5" width="19" style="22" customWidth="1"/>
    <col min="6" max="6" width="17.5703125" style="22" customWidth="1"/>
    <col min="7" max="7" width="39" style="21" bestFit="1" customWidth="1"/>
    <col min="8" max="16384" width="9.140625" style="4"/>
  </cols>
  <sheetData>
    <row r="1" spans="1:7" s="19" customFormat="1" thickBot="1" x14ac:dyDescent="0.3">
      <c r="A1" s="16" t="s">
        <v>99</v>
      </c>
      <c r="B1" s="17" t="s">
        <v>0</v>
      </c>
      <c r="C1" s="17" t="s">
        <v>100</v>
      </c>
      <c r="D1" s="17" t="s">
        <v>101</v>
      </c>
      <c r="E1" s="17" t="s">
        <v>102</v>
      </c>
      <c r="F1" s="17" t="s">
        <v>103</v>
      </c>
      <c r="G1" s="18" t="s">
        <v>104</v>
      </c>
    </row>
    <row r="2" spans="1:7" thickBot="1" x14ac:dyDescent="0.3">
      <c r="A2" s="20">
        <v>1</v>
      </c>
      <c r="B2" s="21" t="s">
        <v>105</v>
      </c>
      <c r="F2" s="23">
        <v>46142</v>
      </c>
      <c r="G2" s="24" t="s">
        <v>106</v>
      </c>
    </row>
    <row r="3" spans="1:7" thickBot="1" x14ac:dyDescent="0.3">
      <c r="A3" s="20">
        <v>2</v>
      </c>
      <c r="B3" s="21" t="s">
        <v>107</v>
      </c>
      <c r="F3" s="23">
        <v>46122</v>
      </c>
      <c r="G3" s="25" t="s">
        <v>108</v>
      </c>
    </row>
    <row r="4" spans="1:7" thickBot="1" x14ac:dyDescent="0.3">
      <c r="A4" s="20">
        <v>3</v>
      </c>
      <c r="B4" s="21" t="s">
        <v>109</v>
      </c>
      <c r="C4" s="21" t="s">
        <v>110</v>
      </c>
      <c r="D4" s="23">
        <v>46157</v>
      </c>
      <c r="E4" s="23">
        <v>46162</v>
      </c>
      <c r="F4" s="23">
        <v>46172</v>
      </c>
      <c r="G4" s="26" t="s">
        <v>111</v>
      </c>
    </row>
    <row r="5" spans="1:7" thickBot="1" x14ac:dyDescent="0.3">
      <c r="A5" s="20">
        <v>4</v>
      </c>
      <c r="B5" s="21" t="s">
        <v>112</v>
      </c>
      <c r="C5" s="21" t="s">
        <v>113</v>
      </c>
      <c r="D5" s="23">
        <v>46132</v>
      </c>
      <c r="E5" s="23">
        <v>46133</v>
      </c>
      <c r="F5" s="23">
        <v>46164</v>
      </c>
      <c r="G5" s="26" t="s">
        <v>114</v>
      </c>
    </row>
    <row r="6" spans="1:7" thickBot="1" x14ac:dyDescent="0.3">
      <c r="A6" s="20">
        <v>5</v>
      </c>
      <c r="B6" s="21" t="s">
        <v>112</v>
      </c>
      <c r="C6" s="21" t="s">
        <v>115</v>
      </c>
      <c r="D6" s="23">
        <v>46045</v>
      </c>
      <c r="E6" s="23">
        <v>46162</v>
      </c>
      <c r="F6" s="23">
        <f>E6+5</f>
        <v>46167</v>
      </c>
      <c r="G6" s="26" t="s">
        <v>116</v>
      </c>
    </row>
    <row r="7" spans="1:7" thickBot="1" x14ac:dyDescent="0.3">
      <c r="A7" s="20">
        <v>6</v>
      </c>
      <c r="B7" s="21" t="s">
        <v>112</v>
      </c>
      <c r="C7" s="21" t="s">
        <v>55</v>
      </c>
      <c r="D7" s="23">
        <v>46045</v>
      </c>
      <c r="E7" s="23">
        <v>46146</v>
      </c>
      <c r="F7" s="23">
        <f>E7+8</f>
        <v>46154</v>
      </c>
      <c r="G7" s="24"/>
    </row>
    <row r="8" spans="1:7" thickBot="1" x14ac:dyDescent="0.3">
      <c r="A8" s="20">
        <v>7</v>
      </c>
      <c r="B8" s="21" t="s">
        <v>112</v>
      </c>
      <c r="C8" s="21" t="s">
        <v>59</v>
      </c>
      <c r="D8" s="23">
        <v>46112</v>
      </c>
      <c r="E8" s="23">
        <v>46146</v>
      </c>
      <c r="F8" s="23">
        <f>E8+4</f>
        <v>46150</v>
      </c>
      <c r="G8" s="24"/>
    </row>
    <row r="9" spans="1:7" thickBot="1" x14ac:dyDescent="0.3">
      <c r="A9" s="20">
        <v>8</v>
      </c>
      <c r="B9" s="21" t="s">
        <v>46</v>
      </c>
      <c r="C9" s="21" t="s">
        <v>47</v>
      </c>
      <c r="D9" s="23">
        <v>46122</v>
      </c>
      <c r="E9" s="23">
        <v>46157</v>
      </c>
      <c r="F9" s="23">
        <v>46165</v>
      </c>
      <c r="G9" s="24" t="s">
        <v>111</v>
      </c>
    </row>
    <row r="10" spans="1:7" thickBot="1" x14ac:dyDescent="0.3">
      <c r="A10" s="20">
        <v>9</v>
      </c>
      <c r="B10" s="21" t="s">
        <v>117</v>
      </c>
      <c r="C10" s="21" t="s">
        <v>59</v>
      </c>
      <c r="D10" s="23">
        <v>46112</v>
      </c>
      <c r="E10" s="23">
        <v>46146</v>
      </c>
      <c r="F10" s="23">
        <v>46163</v>
      </c>
      <c r="G10" s="24"/>
    </row>
    <row r="11" spans="1:7" thickBot="1" x14ac:dyDescent="0.3">
      <c r="A11" s="20">
        <v>10</v>
      </c>
      <c r="B11" s="21" t="s">
        <v>118</v>
      </c>
      <c r="C11" s="21" t="s">
        <v>119</v>
      </c>
      <c r="D11" s="23">
        <v>46132</v>
      </c>
      <c r="E11" s="23">
        <v>46133</v>
      </c>
      <c r="F11" s="23">
        <v>46221</v>
      </c>
      <c r="G11" s="24"/>
    </row>
    <row r="12" spans="1:7" thickBot="1" x14ac:dyDescent="0.3">
      <c r="A12" s="20">
        <v>11</v>
      </c>
      <c r="B12" s="21" t="s">
        <v>120</v>
      </c>
      <c r="C12" s="21" t="s">
        <v>121</v>
      </c>
      <c r="D12" s="23">
        <v>46045</v>
      </c>
      <c r="E12" s="23">
        <v>46162</v>
      </c>
      <c r="F12" s="23">
        <f>E12+5</f>
        <v>46167</v>
      </c>
      <c r="G12" s="26" t="s">
        <v>116</v>
      </c>
    </row>
    <row r="13" spans="1:7" thickBot="1" x14ac:dyDescent="0.3">
      <c r="A13" s="20">
        <v>12</v>
      </c>
      <c r="B13" s="21" t="s">
        <v>120</v>
      </c>
      <c r="C13" s="21" t="s">
        <v>122</v>
      </c>
      <c r="D13" s="23">
        <v>46112</v>
      </c>
      <c r="E13" s="23">
        <v>46160</v>
      </c>
      <c r="F13" s="23">
        <f>E13+5</f>
        <v>46165</v>
      </c>
      <c r="G13" s="24"/>
    </row>
    <row r="14" spans="1:7" thickBot="1" x14ac:dyDescent="0.3">
      <c r="A14" s="20">
        <v>13</v>
      </c>
      <c r="B14" s="21" t="s">
        <v>120</v>
      </c>
      <c r="C14" s="21" t="s">
        <v>123</v>
      </c>
      <c r="D14" s="23">
        <v>46132</v>
      </c>
      <c r="E14" s="23">
        <v>46146</v>
      </c>
      <c r="F14" s="23">
        <v>46166</v>
      </c>
      <c r="G14" s="24"/>
    </row>
    <row r="15" spans="1:7" thickBot="1" x14ac:dyDescent="0.3">
      <c r="A15" s="20">
        <v>14</v>
      </c>
      <c r="B15" s="21" t="s">
        <v>120</v>
      </c>
      <c r="C15" s="21" t="s">
        <v>124</v>
      </c>
      <c r="D15" s="23">
        <v>46157</v>
      </c>
      <c r="E15" s="23">
        <f>D15</f>
        <v>46157</v>
      </c>
      <c r="F15" s="23">
        <f>E15+2</f>
        <v>46159</v>
      </c>
      <c r="G15" s="26" t="s">
        <v>125</v>
      </c>
    </row>
    <row r="16" spans="1:7" thickBot="1" x14ac:dyDescent="0.3">
      <c r="A16" s="20">
        <v>15</v>
      </c>
      <c r="B16" s="21" t="s">
        <v>120</v>
      </c>
      <c r="C16" s="21" t="s">
        <v>126</v>
      </c>
      <c r="D16" s="23">
        <v>46142</v>
      </c>
      <c r="E16" s="23">
        <v>46147</v>
      </c>
      <c r="F16" s="23">
        <v>46160</v>
      </c>
      <c r="G16" s="26" t="s">
        <v>127</v>
      </c>
    </row>
    <row r="17" spans="1:7" thickBot="1" x14ac:dyDescent="0.3">
      <c r="A17" s="20">
        <v>16</v>
      </c>
      <c r="B17" s="21" t="s">
        <v>120</v>
      </c>
      <c r="C17" s="21" t="s">
        <v>128</v>
      </c>
      <c r="D17" s="23">
        <v>46188</v>
      </c>
      <c r="E17" s="23">
        <f>D17+1</f>
        <v>46189</v>
      </c>
      <c r="F17" s="23">
        <f>E17+2</f>
        <v>46191</v>
      </c>
      <c r="G17" s="24" t="s">
        <v>125</v>
      </c>
    </row>
    <row r="18" spans="1:7" thickBot="1" x14ac:dyDescent="0.3">
      <c r="A18" s="20">
        <v>17</v>
      </c>
      <c r="B18" s="21" t="s">
        <v>129</v>
      </c>
      <c r="C18" s="21" t="s">
        <v>130</v>
      </c>
      <c r="D18" s="23">
        <v>46112</v>
      </c>
      <c r="E18" s="23">
        <v>46146</v>
      </c>
      <c r="F18" s="23">
        <v>46172</v>
      </c>
      <c r="G18" s="24"/>
    </row>
    <row r="19" spans="1:7" thickBot="1" x14ac:dyDescent="0.3">
      <c r="A19" s="20">
        <v>18</v>
      </c>
      <c r="B19" s="21" t="s">
        <v>131</v>
      </c>
      <c r="C19" s="21" t="s">
        <v>132</v>
      </c>
      <c r="D19" s="23">
        <v>46132</v>
      </c>
      <c r="E19" s="23">
        <v>46156</v>
      </c>
      <c r="F19" s="23">
        <v>46178</v>
      </c>
      <c r="G19" s="24"/>
    </row>
    <row r="20" spans="1:7" thickBot="1" x14ac:dyDescent="0.3">
      <c r="A20" s="20">
        <v>19</v>
      </c>
      <c r="B20" s="21" t="s">
        <v>131</v>
      </c>
      <c r="C20" s="21" t="s">
        <v>98</v>
      </c>
      <c r="D20" s="23">
        <v>46094</v>
      </c>
      <c r="E20" s="23">
        <v>46167</v>
      </c>
      <c r="F20" s="23">
        <f>E20+5</f>
        <v>46172</v>
      </c>
      <c r="G20" s="24"/>
    </row>
    <row r="21" spans="1:7" thickBot="1" x14ac:dyDescent="0.3">
      <c r="A21" s="20">
        <v>20</v>
      </c>
      <c r="B21" s="21" t="s">
        <v>133</v>
      </c>
      <c r="C21" s="21" t="s">
        <v>134</v>
      </c>
      <c r="D21" s="23" t="s">
        <v>135</v>
      </c>
      <c r="E21" s="23" t="s">
        <v>135</v>
      </c>
      <c r="F21" s="23" t="s">
        <v>135</v>
      </c>
      <c r="G21" s="24" t="s">
        <v>111</v>
      </c>
    </row>
    <row r="22" spans="1:7" thickBot="1" x14ac:dyDescent="0.3">
      <c r="A22" s="20">
        <v>21</v>
      </c>
      <c r="B22" s="21" t="s">
        <v>136</v>
      </c>
      <c r="E22" s="23"/>
      <c r="F22" s="23">
        <v>46173</v>
      </c>
      <c r="G22" s="25" t="s">
        <v>137</v>
      </c>
    </row>
    <row r="23" spans="1:7" thickBot="1" x14ac:dyDescent="0.3">
      <c r="A23" s="20">
        <v>22</v>
      </c>
      <c r="B23" s="21" t="s">
        <v>138</v>
      </c>
      <c r="E23" s="23">
        <v>46142</v>
      </c>
      <c r="F23" s="23">
        <v>46142</v>
      </c>
      <c r="G23" s="25" t="s">
        <v>137</v>
      </c>
    </row>
    <row r="24" spans="1:7" thickBot="1" x14ac:dyDescent="0.3">
      <c r="A24" s="20">
        <v>23</v>
      </c>
      <c r="B24" s="21" t="s">
        <v>139</v>
      </c>
      <c r="E24" s="23">
        <v>46142</v>
      </c>
      <c r="F24" s="23">
        <v>46142</v>
      </c>
      <c r="G24" s="25" t="s">
        <v>137</v>
      </c>
    </row>
    <row r="25" spans="1:7" thickBot="1" x14ac:dyDescent="0.3">
      <c r="A25" s="20">
        <v>24</v>
      </c>
      <c r="B25" s="21" t="s">
        <v>140</v>
      </c>
      <c r="E25" s="23">
        <v>46142</v>
      </c>
      <c r="F25" s="23">
        <v>46142</v>
      </c>
      <c r="G25" s="25" t="s">
        <v>137</v>
      </c>
    </row>
    <row r="26" spans="1:7" thickBot="1" x14ac:dyDescent="0.3">
      <c r="A26" s="20">
        <v>25</v>
      </c>
      <c r="B26" s="21" t="s">
        <v>141</v>
      </c>
      <c r="E26" s="23"/>
      <c r="F26" s="23"/>
      <c r="G26" s="25" t="s">
        <v>142</v>
      </c>
    </row>
    <row r="27" spans="1:7" thickBot="1" x14ac:dyDescent="0.3">
      <c r="A27" s="20">
        <v>26</v>
      </c>
      <c r="B27" s="21" t="s">
        <v>143</v>
      </c>
      <c r="F27" s="23">
        <v>46175</v>
      </c>
      <c r="G27" s="24" t="s">
        <v>106</v>
      </c>
    </row>
    <row r="28" spans="1:7" thickBot="1" x14ac:dyDescent="0.3">
      <c r="A28" s="20">
        <v>27</v>
      </c>
      <c r="B28" s="27" t="s">
        <v>144</v>
      </c>
      <c r="C28" s="27"/>
      <c r="D28" s="28"/>
      <c r="E28" s="28"/>
      <c r="F28" s="29">
        <v>46142</v>
      </c>
      <c r="G28" s="30" t="s">
        <v>145</v>
      </c>
    </row>
    <row r="29" spans="1:7" s="32" customFormat="1" ht="15.75" x14ac:dyDescent="0.25">
      <c r="A29" s="31"/>
      <c r="D29" s="31"/>
      <c r="E29" s="31"/>
      <c r="F29" s="31"/>
    </row>
    <row r="30" spans="1:7" s="32" customFormat="1" ht="15.75" x14ac:dyDescent="0.25">
      <c r="A30" s="31"/>
      <c r="D30" s="31"/>
      <c r="E30" s="31"/>
      <c r="F30" s="31"/>
    </row>
    <row r="31" spans="1:7" s="32" customFormat="1" ht="15.75" x14ac:dyDescent="0.25">
      <c r="A31" s="31"/>
      <c r="D31" s="31"/>
      <c r="E31" s="31"/>
      <c r="F31" s="31"/>
    </row>
    <row r="32" spans="1:7" s="32" customFormat="1" ht="15.75" x14ac:dyDescent="0.25">
      <c r="A32" s="31"/>
      <c r="D32" s="31"/>
      <c r="E32" s="31"/>
      <c r="F32" s="31"/>
    </row>
    <row r="33" spans="1:6" s="32" customFormat="1" ht="15.75" x14ac:dyDescent="0.25">
      <c r="A33" s="31"/>
      <c r="D33" s="31"/>
      <c r="E33" s="31"/>
      <c r="F33" s="31"/>
    </row>
    <row r="34" spans="1:6" s="32" customFormat="1" ht="15.75" x14ac:dyDescent="0.25">
      <c r="A34" s="31"/>
      <c r="D34" s="31"/>
      <c r="E34" s="31"/>
      <c r="F34" s="31"/>
    </row>
    <row r="35" spans="1:6" s="32" customFormat="1" ht="15.75" x14ac:dyDescent="0.25">
      <c r="A35" s="31"/>
      <c r="D35" s="31"/>
      <c r="E35" s="31"/>
      <c r="F35" s="31"/>
    </row>
    <row r="36" spans="1:6" s="32" customFormat="1" ht="15.75" x14ac:dyDescent="0.25">
      <c r="A36" s="31"/>
      <c r="D36" s="31"/>
      <c r="E36" s="31"/>
      <c r="F36" s="31"/>
    </row>
    <row r="37" spans="1:6" s="32" customFormat="1" ht="15.75" x14ac:dyDescent="0.25">
      <c r="A37" s="31"/>
      <c r="D37" s="31"/>
      <c r="E37" s="31"/>
      <c r="F37" s="31"/>
    </row>
    <row r="38" spans="1:6" s="32" customFormat="1" ht="15.75" x14ac:dyDescent="0.25">
      <c r="A38" s="31"/>
      <c r="D38" s="31"/>
      <c r="E38" s="31"/>
      <c r="F38" s="31"/>
    </row>
    <row r="39" spans="1:6" s="32" customFormat="1" ht="15.75" x14ac:dyDescent="0.25">
      <c r="A39" s="31"/>
      <c r="D39" s="31"/>
      <c r="E39" s="31"/>
      <c r="F39" s="31"/>
    </row>
    <row r="40" spans="1:6" s="32" customFormat="1" ht="15.75" x14ac:dyDescent="0.25">
      <c r="A40" s="31"/>
      <c r="D40" s="31"/>
      <c r="E40" s="31"/>
      <c r="F40" s="31"/>
    </row>
    <row r="41" spans="1:6" s="32" customFormat="1" ht="15.75" x14ac:dyDescent="0.25">
      <c r="A41" s="31"/>
      <c r="D41" s="31"/>
      <c r="E41" s="31"/>
      <c r="F41" s="31"/>
    </row>
    <row r="42" spans="1:6" s="32" customFormat="1" ht="15.75" x14ac:dyDescent="0.25">
      <c r="A42" s="31"/>
      <c r="D42" s="31"/>
      <c r="E42" s="31"/>
      <c r="F42" s="31"/>
    </row>
    <row r="43" spans="1:6" s="32" customFormat="1" ht="15.75" x14ac:dyDescent="0.25">
      <c r="A43" s="31"/>
      <c r="D43" s="31"/>
      <c r="E43" s="31"/>
      <c r="F43" s="31"/>
    </row>
    <row r="44" spans="1:6" s="32" customFormat="1" ht="15.75" x14ac:dyDescent="0.25">
      <c r="A44" s="31"/>
      <c r="D44" s="31"/>
      <c r="E44" s="31"/>
      <c r="F44" s="31"/>
    </row>
    <row r="45" spans="1:6" s="32" customFormat="1" ht="15.75" x14ac:dyDescent="0.25">
      <c r="A45" s="31"/>
      <c r="D45" s="31"/>
      <c r="E45" s="31"/>
      <c r="F45" s="31"/>
    </row>
    <row r="46" spans="1:6" s="32" customFormat="1" ht="15.75" x14ac:dyDescent="0.25">
      <c r="A46" s="31"/>
      <c r="D46" s="31"/>
      <c r="E46" s="31"/>
      <c r="F46" s="31"/>
    </row>
    <row r="47" spans="1:6" s="32" customFormat="1" ht="15.75" x14ac:dyDescent="0.25">
      <c r="A47" s="31"/>
      <c r="D47" s="31"/>
      <c r="E47" s="31"/>
      <c r="F47" s="31"/>
    </row>
    <row r="48" spans="1:6" s="32" customFormat="1" ht="15.75" x14ac:dyDescent="0.25">
      <c r="A48" s="31"/>
      <c r="D48" s="31"/>
      <c r="E48" s="31"/>
      <c r="F48" s="31"/>
    </row>
    <row r="49" spans="1:6" s="32" customFormat="1" ht="15.75" x14ac:dyDescent="0.25">
      <c r="A49" s="31"/>
      <c r="D49" s="31"/>
      <c r="E49" s="31"/>
      <c r="F49" s="31"/>
    </row>
    <row r="50" spans="1:6" s="32" customFormat="1" ht="15.75" x14ac:dyDescent="0.25">
      <c r="A50" s="31"/>
      <c r="D50" s="31"/>
      <c r="E50" s="31"/>
      <c r="F50" s="31"/>
    </row>
    <row r="51" spans="1:6" s="32" customFormat="1" ht="15.75" x14ac:dyDescent="0.25">
      <c r="A51" s="31"/>
      <c r="D51" s="31"/>
      <c r="E51" s="31"/>
      <c r="F51" s="31"/>
    </row>
    <row r="52" spans="1:6" s="32" customFormat="1" ht="15.75" x14ac:dyDescent="0.25">
      <c r="A52" s="31"/>
      <c r="D52" s="31"/>
      <c r="E52" s="31"/>
      <c r="F52" s="31"/>
    </row>
    <row r="53" spans="1:6" s="32" customFormat="1" ht="15.75" x14ac:dyDescent="0.25">
      <c r="A53" s="31"/>
      <c r="D53" s="31"/>
      <c r="E53" s="31"/>
      <c r="F53" s="31"/>
    </row>
    <row r="54" spans="1:6" s="32" customFormat="1" ht="15.75" x14ac:dyDescent="0.25">
      <c r="A54" s="31"/>
      <c r="D54" s="31"/>
      <c r="E54" s="31"/>
      <c r="F54" s="31"/>
    </row>
    <row r="55" spans="1:6" s="32" customFormat="1" ht="15.75" x14ac:dyDescent="0.25">
      <c r="A55" s="31"/>
      <c r="D55" s="31"/>
      <c r="E55" s="31"/>
      <c r="F55" s="31"/>
    </row>
    <row r="56" spans="1:6" s="32" customFormat="1" ht="15.75" x14ac:dyDescent="0.25">
      <c r="A56" s="31"/>
      <c r="D56" s="31"/>
      <c r="E56" s="31"/>
      <c r="F56" s="31"/>
    </row>
    <row r="57" spans="1:6" s="32" customFormat="1" ht="15.75" x14ac:dyDescent="0.25">
      <c r="A57" s="31"/>
      <c r="D57" s="31"/>
      <c r="E57" s="31"/>
      <c r="F57" s="31"/>
    </row>
    <row r="58" spans="1:6" s="32" customFormat="1" ht="15.75" x14ac:dyDescent="0.25">
      <c r="A58" s="31"/>
      <c r="D58" s="31"/>
      <c r="E58" s="31"/>
      <c r="F58" s="31"/>
    </row>
    <row r="59" spans="1:6" s="32" customFormat="1" ht="15.75" x14ac:dyDescent="0.25">
      <c r="A59" s="31"/>
      <c r="D59" s="31"/>
      <c r="E59" s="31"/>
      <c r="F59" s="31"/>
    </row>
    <row r="60" spans="1:6" s="32" customFormat="1" ht="15.75" x14ac:dyDescent="0.25">
      <c r="A60" s="31"/>
      <c r="D60" s="31"/>
      <c r="E60" s="31"/>
      <c r="F60" s="31"/>
    </row>
    <row r="61" spans="1:6" s="32" customFormat="1" ht="15.75" x14ac:dyDescent="0.25">
      <c r="A61" s="31"/>
      <c r="D61" s="31"/>
      <c r="E61" s="31"/>
      <c r="F61" s="31"/>
    </row>
    <row r="62" spans="1:6" s="32" customFormat="1" ht="15.75" x14ac:dyDescent="0.25">
      <c r="A62" s="31"/>
      <c r="D62" s="31"/>
      <c r="E62" s="31"/>
      <c r="F62" s="31"/>
    </row>
    <row r="63" spans="1:6" s="32" customFormat="1" ht="15.75" x14ac:dyDescent="0.25">
      <c r="A63" s="31"/>
      <c r="D63" s="31"/>
      <c r="E63" s="31"/>
      <c r="F63" s="31"/>
    </row>
    <row r="64" spans="1:6" s="32" customFormat="1" ht="15.75" x14ac:dyDescent="0.25">
      <c r="A64" s="31"/>
      <c r="D64" s="31"/>
      <c r="E64" s="31"/>
      <c r="F64" s="31"/>
    </row>
    <row r="65" spans="1:6" s="32" customFormat="1" ht="15.75" x14ac:dyDescent="0.25">
      <c r="A65" s="31"/>
      <c r="D65" s="31"/>
      <c r="E65" s="31"/>
      <c r="F65" s="31"/>
    </row>
    <row r="66" spans="1:6" s="32" customFormat="1" ht="15.75" x14ac:dyDescent="0.25">
      <c r="A66" s="31"/>
      <c r="D66" s="31"/>
      <c r="E66" s="31"/>
      <c r="F66" s="31"/>
    </row>
    <row r="67" spans="1:6" s="32" customFormat="1" ht="15.75" x14ac:dyDescent="0.25">
      <c r="A67" s="31"/>
      <c r="D67" s="31"/>
      <c r="E67" s="31"/>
      <c r="F67" s="31"/>
    </row>
    <row r="68" spans="1:6" s="32" customFormat="1" ht="15.75" x14ac:dyDescent="0.25">
      <c r="A68" s="31"/>
      <c r="D68" s="31"/>
      <c r="E68" s="31"/>
      <c r="F68" s="31"/>
    </row>
    <row r="69" spans="1:6" s="32" customFormat="1" ht="15.75" x14ac:dyDescent="0.25">
      <c r="A69" s="31"/>
      <c r="D69" s="31"/>
      <c r="E69" s="31"/>
      <c r="F69" s="31"/>
    </row>
    <row r="70" spans="1:6" s="32" customFormat="1" ht="15.75" x14ac:dyDescent="0.25">
      <c r="A70" s="31"/>
      <c r="D70" s="31"/>
      <c r="E70" s="31"/>
      <c r="F70" s="31"/>
    </row>
    <row r="71" spans="1:6" s="32" customFormat="1" ht="15.75" x14ac:dyDescent="0.25">
      <c r="A71" s="31"/>
      <c r="D71" s="31"/>
      <c r="E71" s="31"/>
      <c r="F71" s="31"/>
    </row>
    <row r="72" spans="1:6" s="32" customFormat="1" ht="15.75" x14ac:dyDescent="0.25">
      <c r="A72" s="31"/>
      <c r="D72" s="31"/>
      <c r="E72" s="31"/>
      <c r="F72" s="31"/>
    </row>
    <row r="73" spans="1:6" s="32" customFormat="1" ht="15.75" x14ac:dyDescent="0.25">
      <c r="A73" s="31"/>
      <c r="D73" s="31"/>
      <c r="E73" s="31"/>
      <c r="F73" s="31"/>
    </row>
    <row r="74" spans="1:6" s="32" customFormat="1" ht="15.75" x14ac:dyDescent="0.25">
      <c r="A74" s="31"/>
      <c r="D74" s="31"/>
      <c r="E74" s="31"/>
      <c r="F74" s="31"/>
    </row>
    <row r="75" spans="1:6" s="32" customFormat="1" ht="15.75" x14ac:dyDescent="0.25">
      <c r="A75" s="31"/>
      <c r="D75" s="31"/>
      <c r="E75" s="31"/>
      <c r="F75" s="31"/>
    </row>
    <row r="76" spans="1:6" s="32" customFormat="1" ht="15.75" x14ac:dyDescent="0.25">
      <c r="A76" s="31"/>
      <c r="D76" s="31"/>
      <c r="E76" s="31"/>
      <c r="F76" s="31"/>
    </row>
    <row r="77" spans="1:6" s="32" customFormat="1" ht="15.75" x14ac:dyDescent="0.25">
      <c r="A77" s="31"/>
      <c r="D77" s="31"/>
      <c r="E77" s="31"/>
      <c r="F77" s="31"/>
    </row>
    <row r="78" spans="1:6" s="32" customFormat="1" ht="15.75" x14ac:dyDescent="0.25">
      <c r="A78" s="31"/>
      <c r="D78" s="31"/>
      <c r="E78" s="31"/>
      <c r="F78" s="31"/>
    </row>
    <row r="79" spans="1:6" s="32" customFormat="1" ht="15.75" x14ac:dyDescent="0.25">
      <c r="A79" s="31"/>
      <c r="D79" s="31"/>
      <c r="E79" s="31"/>
      <c r="F79" s="31"/>
    </row>
    <row r="80" spans="1:6" s="32" customFormat="1" ht="15.75" x14ac:dyDescent="0.25">
      <c r="A80" s="31"/>
      <c r="D80" s="31"/>
      <c r="E80" s="31"/>
      <c r="F80" s="31"/>
    </row>
    <row r="81" spans="1:6" s="32" customFormat="1" ht="15.75" x14ac:dyDescent="0.25">
      <c r="A81" s="31"/>
      <c r="D81" s="31"/>
      <c r="E81" s="31"/>
      <c r="F81" s="31"/>
    </row>
    <row r="82" spans="1:6" s="32" customFormat="1" ht="15.75" x14ac:dyDescent="0.25">
      <c r="A82" s="31"/>
      <c r="D82" s="31"/>
      <c r="E82" s="31"/>
      <c r="F82" s="31"/>
    </row>
    <row r="83" spans="1:6" s="32" customFormat="1" ht="15.75" x14ac:dyDescent="0.25">
      <c r="A83" s="31"/>
      <c r="D83" s="31"/>
      <c r="E83" s="31"/>
      <c r="F83" s="31"/>
    </row>
    <row r="84" spans="1:6" s="32" customFormat="1" ht="15.75" x14ac:dyDescent="0.25">
      <c r="A84" s="31"/>
      <c r="D84" s="31"/>
      <c r="E84" s="31"/>
      <c r="F84" s="31"/>
    </row>
    <row r="85" spans="1:6" s="32" customFormat="1" ht="15.75" x14ac:dyDescent="0.25">
      <c r="A85" s="31"/>
      <c r="D85" s="31"/>
      <c r="E85" s="31"/>
      <c r="F85" s="31"/>
    </row>
    <row r="86" spans="1:6" s="32" customFormat="1" ht="15.75" x14ac:dyDescent="0.25">
      <c r="A86" s="31"/>
      <c r="D86" s="31"/>
      <c r="E86" s="31"/>
      <c r="F86" s="31"/>
    </row>
    <row r="87" spans="1:6" s="32" customFormat="1" ht="15.75" x14ac:dyDescent="0.25">
      <c r="A87" s="31"/>
      <c r="D87" s="31"/>
      <c r="E87" s="31"/>
      <c r="F87" s="31"/>
    </row>
    <row r="88" spans="1:6" s="32" customFormat="1" ht="15.75" x14ac:dyDescent="0.25">
      <c r="A88" s="31"/>
      <c r="D88" s="31"/>
      <c r="E88" s="31"/>
      <c r="F88" s="31"/>
    </row>
    <row r="89" spans="1:6" s="32" customFormat="1" ht="15.75" x14ac:dyDescent="0.25">
      <c r="A89" s="31"/>
      <c r="D89" s="31"/>
      <c r="E89" s="31"/>
      <c r="F89" s="31"/>
    </row>
    <row r="90" spans="1:6" s="32" customFormat="1" ht="15.75" x14ac:dyDescent="0.25">
      <c r="A90" s="31"/>
      <c r="D90" s="31"/>
      <c r="E90" s="31"/>
      <c r="F90" s="31"/>
    </row>
    <row r="91" spans="1:6" s="32" customFormat="1" ht="15.75" x14ac:dyDescent="0.25">
      <c r="A91" s="31"/>
      <c r="D91" s="31"/>
      <c r="E91" s="31"/>
      <c r="F91" s="31"/>
    </row>
    <row r="92" spans="1:6" s="32" customFormat="1" ht="15.75" x14ac:dyDescent="0.25">
      <c r="A92" s="31"/>
      <c r="D92" s="31"/>
      <c r="E92" s="31"/>
      <c r="F92" s="31"/>
    </row>
    <row r="93" spans="1:6" s="32" customFormat="1" ht="15.75" x14ac:dyDescent="0.25">
      <c r="A93" s="31"/>
      <c r="D93" s="31"/>
      <c r="E93" s="31"/>
      <c r="F93" s="31"/>
    </row>
    <row r="94" spans="1:6" s="32" customFormat="1" ht="15.75" x14ac:dyDescent="0.25">
      <c r="A94" s="31"/>
      <c r="D94" s="31"/>
      <c r="E94" s="31"/>
      <c r="F94" s="31"/>
    </row>
    <row r="95" spans="1:6" s="32" customFormat="1" ht="15.75" x14ac:dyDescent="0.25">
      <c r="A95" s="31"/>
      <c r="D95" s="31"/>
      <c r="E95" s="31"/>
      <c r="F95" s="31"/>
    </row>
    <row r="96" spans="1:6" s="32" customFormat="1" ht="15.75" x14ac:dyDescent="0.25">
      <c r="A96" s="31"/>
      <c r="D96" s="31"/>
      <c r="E96" s="31"/>
      <c r="F96" s="31"/>
    </row>
    <row r="97" spans="1:6" s="32" customFormat="1" ht="15.75" x14ac:dyDescent="0.25">
      <c r="A97" s="31"/>
      <c r="D97" s="31"/>
      <c r="E97" s="31"/>
      <c r="F97" s="31"/>
    </row>
    <row r="98" spans="1:6" s="32" customFormat="1" ht="15.75" x14ac:dyDescent="0.25">
      <c r="A98" s="31"/>
      <c r="D98" s="31"/>
      <c r="E98" s="31"/>
      <c r="F98" s="31"/>
    </row>
    <row r="99" spans="1:6" s="32" customFormat="1" ht="15.75" x14ac:dyDescent="0.25">
      <c r="A99" s="31"/>
      <c r="D99" s="31"/>
      <c r="E99" s="31"/>
      <c r="F99" s="31"/>
    </row>
    <row r="100" spans="1:6" s="32" customFormat="1" ht="15.75" x14ac:dyDescent="0.25">
      <c r="A100" s="31"/>
      <c r="D100" s="31"/>
      <c r="E100" s="31"/>
      <c r="F100" s="31"/>
    </row>
    <row r="101" spans="1:6" s="32" customFormat="1" ht="15.75" x14ac:dyDescent="0.25">
      <c r="A101" s="31"/>
      <c r="D101" s="31"/>
      <c r="E101" s="31"/>
      <c r="F101" s="31"/>
    </row>
    <row r="102" spans="1:6" s="32" customFormat="1" ht="15.75" x14ac:dyDescent="0.25">
      <c r="A102" s="31"/>
      <c r="D102" s="31"/>
      <c r="E102" s="31"/>
      <c r="F102" s="31"/>
    </row>
    <row r="103" spans="1:6" s="32" customFormat="1" ht="15.75" x14ac:dyDescent="0.25">
      <c r="A103" s="31"/>
      <c r="D103" s="31"/>
      <c r="E103" s="31"/>
      <c r="F103" s="31"/>
    </row>
    <row r="104" spans="1:6" s="32" customFormat="1" ht="15.75" x14ac:dyDescent="0.25">
      <c r="A104" s="31"/>
      <c r="D104" s="31"/>
      <c r="E104" s="31"/>
      <c r="F104" s="31"/>
    </row>
    <row r="105" spans="1:6" s="32" customFormat="1" ht="15.75" x14ac:dyDescent="0.25">
      <c r="A105" s="31"/>
      <c r="D105" s="31"/>
      <c r="E105" s="31"/>
      <c r="F105" s="31"/>
    </row>
    <row r="106" spans="1:6" s="32" customFormat="1" ht="15.75" x14ac:dyDescent="0.25">
      <c r="A106" s="31"/>
      <c r="D106" s="31"/>
      <c r="E106" s="31"/>
      <c r="F106" s="31"/>
    </row>
    <row r="107" spans="1:6" s="32" customFormat="1" ht="15.75" x14ac:dyDescent="0.25">
      <c r="A107" s="31"/>
      <c r="D107" s="31"/>
      <c r="E107" s="31"/>
      <c r="F107" s="31"/>
    </row>
    <row r="108" spans="1:6" s="32" customFormat="1" ht="15.75" x14ac:dyDescent="0.25">
      <c r="A108" s="31"/>
      <c r="D108" s="31"/>
      <c r="E108" s="31"/>
      <c r="F108" s="31"/>
    </row>
    <row r="109" spans="1:6" s="32" customFormat="1" ht="15.75" x14ac:dyDescent="0.25">
      <c r="A109" s="31"/>
      <c r="D109" s="31"/>
      <c r="E109" s="31"/>
      <c r="F109" s="31"/>
    </row>
    <row r="110" spans="1:6" s="32" customFormat="1" ht="15.75" x14ac:dyDescent="0.25">
      <c r="A110" s="31"/>
      <c r="D110" s="31"/>
      <c r="E110" s="31"/>
      <c r="F110" s="31"/>
    </row>
    <row r="111" spans="1:6" s="32" customFormat="1" ht="15.75" x14ac:dyDescent="0.25">
      <c r="A111" s="31"/>
      <c r="D111" s="31"/>
      <c r="E111" s="31"/>
      <c r="F111" s="31"/>
    </row>
    <row r="112" spans="1:6" s="32" customFormat="1" ht="15.75" x14ac:dyDescent="0.25">
      <c r="A112" s="31"/>
      <c r="D112" s="31"/>
      <c r="E112" s="31"/>
      <c r="F112" s="31"/>
    </row>
    <row r="113" spans="1:6" s="32" customFormat="1" ht="15.75" x14ac:dyDescent="0.25">
      <c r="A113" s="31"/>
      <c r="D113" s="31"/>
      <c r="E113" s="31"/>
      <c r="F113" s="31"/>
    </row>
    <row r="114" spans="1:6" s="32" customFormat="1" ht="15.75" x14ac:dyDescent="0.25">
      <c r="A114" s="31"/>
      <c r="D114" s="31"/>
      <c r="E114" s="31"/>
      <c r="F114" s="31"/>
    </row>
    <row r="115" spans="1:6" s="32" customFormat="1" ht="15.75" x14ac:dyDescent="0.25">
      <c r="A115" s="31"/>
      <c r="D115" s="31"/>
      <c r="E115" s="31"/>
      <c r="F115" s="31"/>
    </row>
    <row r="116" spans="1:6" s="32" customFormat="1" ht="15.75" x14ac:dyDescent="0.25">
      <c r="A116" s="31"/>
      <c r="D116" s="31"/>
      <c r="E116" s="31"/>
      <c r="F116" s="31"/>
    </row>
    <row r="117" spans="1:6" s="32" customFormat="1" ht="15.75" x14ac:dyDescent="0.25">
      <c r="A117" s="31"/>
      <c r="D117" s="31"/>
      <c r="E117" s="31"/>
      <c r="F117" s="31"/>
    </row>
    <row r="118" spans="1:6" s="32" customFormat="1" ht="15.75" x14ac:dyDescent="0.25">
      <c r="A118" s="31"/>
      <c r="D118" s="31"/>
      <c r="E118" s="31"/>
      <c r="F118" s="31"/>
    </row>
    <row r="119" spans="1:6" s="32" customFormat="1" ht="15.75" x14ac:dyDescent="0.25">
      <c r="A119" s="31"/>
      <c r="D119" s="31"/>
      <c r="E119" s="31"/>
      <c r="F119" s="31"/>
    </row>
    <row r="120" spans="1:6" s="32" customFormat="1" ht="15.75" x14ac:dyDescent="0.25">
      <c r="A120" s="31"/>
      <c r="D120" s="31"/>
      <c r="E120" s="31"/>
      <c r="F120" s="31"/>
    </row>
    <row r="121" spans="1:6" s="32" customFormat="1" ht="15.75" x14ac:dyDescent="0.25">
      <c r="A121" s="31"/>
      <c r="D121" s="31"/>
      <c r="E121" s="31"/>
      <c r="F121" s="31"/>
    </row>
    <row r="122" spans="1:6" s="32" customFormat="1" ht="15.75" x14ac:dyDescent="0.25">
      <c r="A122" s="31"/>
      <c r="D122" s="31"/>
      <c r="E122" s="31"/>
      <c r="F122" s="31"/>
    </row>
    <row r="123" spans="1:6" s="32" customFormat="1" ht="15.75" x14ac:dyDescent="0.25">
      <c r="A123" s="31"/>
      <c r="D123" s="31"/>
      <c r="E123" s="31"/>
      <c r="F123" s="31"/>
    </row>
    <row r="124" spans="1:6" s="32" customFormat="1" ht="15.75" x14ac:dyDescent="0.25">
      <c r="A124" s="31"/>
      <c r="D124" s="31"/>
      <c r="E124" s="31"/>
      <c r="F124" s="31"/>
    </row>
    <row r="125" spans="1:6" s="32" customFormat="1" ht="15.75" x14ac:dyDescent="0.25">
      <c r="A125" s="31"/>
      <c r="D125" s="31"/>
      <c r="E125" s="31"/>
      <c r="F125" s="31"/>
    </row>
    <row r="126" spans="1:6" s="32" customFormat="1" ht="15.75" x14ac:dyDescent="0.25">
      <c r="A126" s="31"/>
      <c r="D126" s="31"/>
      <c r="E126" s="31"/>
      <c r="F126" s="31"/>
    </row>
    <row r="127" spans="1:6" s="32" customFormat="1" ht="15.75" x14ac:dyDescent="0.25">
      <c r="A127" s="31"/>
      <c r="D127" s="31"/>
      <c r="E127" s="31"/>
      <c r="F127" s="31"/>
    </row>
    <row r="128" spans="1:6" s="32" customFormat="1" ht="15.75" x14ac:dyDescent="0.25">
      <c r="A128" s="31"/>
      <c r="D128" s="31"/>
      <c r="E128" s="31"/>
      <c r="F128" s="31"/>
    </row>
    <row r="129" spans="1:6" s="32" customFormat="1" ht="15.75" x14ac:dyDescent="0.25">
      <c r="A129" s="31"/>
      <c r="D129" s="31"/>
      <c r="E129" s="31"/>
      <c r="F129" s="31"/>
    </row>
    <row r="130" spans="1:6" s="32" customFormat="1" ht="15.75" x14ac:dyDescent="0.25">
      <c r="A130" s="31"/>
      <c r="D130" s="31"/>
      <c r="E130" s="31"/>
      <c r="F130" s="31"/>
    </row>
    <row r="131" spans="1:6" s="32" customFormat="1" ht="15.75" x14ac:dyDescent="0.25">
      <c r="A131" s="31"/>
      <c r="D131" s="31"/>
      <c r="E131" s="31"/>
      <c r="F131" s="31"/>
    </row>
    <row r="132" spans="1:6" s="32" customFormat="1" ht="15.75" x14ac:dyDescent="0.25">
      <c r="A132" s="31"/>
      <c r="D132" s="31"/>
      <c r="E132" s="31"/>
      <c r="F132" s="31"/>
    </row>
    <row r="133" spans="1:6" s="32" customFormat="1" ht="15.75" x14ac:dyDescent="0.25">
      <c r="A133" s="31"/>
      <c r="D133" s="31"/>
      <c r="E133" s="31"/>
      <c r="F133" s="31"/>
    </row>
    <row r="134" spans="1:6" s="32" customFormat="1" ht="15.75" x14ac:dyDescent="0.25">
      <c r="A134" s="31"/>
      <c r="D134" s="31"/>
      <c r="E134" s="31"/>
      <c r="F134" s="31"/>
    </row>
    <row r="135" spans="1:6" s="32" customFormat="1" ht="15.75" x14ac:dyDescent="0.25">
      <c r="A135" s="31"/>
      <c r="D135" s="31"/>
      <c r="E135" s="31"/>
      <c r="F135" s="31"/>
    </row>
    <row r="136" spans="1:6" s="32" customFormat="1" ht="15.75" x14ac:dyDescent="0.25">
      <c r="A136" s="31"/>
      <c r="D136" s="31"/>
      <c r="E136" s="31"/>
      <c r="F136" s="31"/>
    </row>
    <row r="137" spans="1:6" s="32" customFormat="1" ht="15.75" x14ac:dyDescent="0.25">
      <c r="A137" s="31"/>
      <c r="D137" s="31"/>
      <c r="E137" s="31"/>
      <c r="F137" s="31"/>
    </row>
    <row r="138" spans="1:6" s="32" customFormat="1" ht="15.75" x14ac:dyDescent="0.25">
      <c r="A138" s="31"/>
      <c r="D138" s="31"/>
      <c r="E138" s="31"/>
      <c r="F138" s="31"/>
    </row>
    <row r="139" spans="1:6" s="32" customFormat="1" ht="15.75" x14ac:dyDescent="0.25">
      <c r="A139" s="31"/>
      <c r="D139" s="31"/>
      <c r="E139" s="31"/>
      <c r="F139" s="31"/>
    </row>
    <row r="140" spans="1:6" s="32" customFormat="1" ht="15.75" x14ac:dyDescent="0.25">
      <c r="A140" s="31"/>
      <c r="D140" s="31"/>
      <c r="E140" s="31"/>
      <c r="F140" s="31"/>
    </row>
    <row r="141" spans="1:6" s="32" customFormat="1" ht="15.75" x14ac:dyDescent="0.25">
      <c r="A141" s="31"/>
      <c r="D141" s="31"/>
      <c r="E141" s="31"/>
      <c r="F141" s="31"/>
    </row>
    <row r="142" spans="1:6" s="32" customFormat="1" ht="15.75" x14ac:dyDescent="0.25">
      <c r="A142" s="31"/>
      <c r="D142" s="31"/>
      <c r="E142" s="31"/>
      <c r="F142" s="31"/>
    </row>
    <row r="143" spans="1:6" s="32" customFormat="1" ht="15.75" x14ac:dyDescent="0.25">
      <c r="A143" s="31"/>
      <c r="D143" s="31"/>
      <c r="E143" s="31"/>
      <c r="F143" s="31"/>
    </row>
    <row r="144" spans="1:6" s="32" customFormat="1" ht="15.75" x14ac:dyDescent="0.25">
      <c r="A144" s="31"/>
      <c r="D144" s="31"/>
      <c r="E144" s="31"/>
      <c r="F144" s="31"/>
    </row>
    <row r="145" spans="1:6" s="32" customFormat="1" ht="15.75" x14ac:dyDescent="0.25">
      <c r="A145" s="31"/>
      <c r="D145" s="31"/>
      <c r="E145" s="31"/>
      <c r="F145" s="31"/>
    </row>
    <row r="146" spans="1:6" s="32" customFormat="1" ht="15.75" x14ac:dyDescent="0.25">
      <c r="A146" s="31"/>
      <c r="D146" s="31"/>
      <c r="E146" s="31"/>
      <c r="F146" s="31"/>
    </row>
    <row r="147" spans="1:6" s="32" customFormat="1" ht="15.75" x14ac:dyDescent="0.25">
      <c r="A147" s="31"/>
      <c r="D147" s="31"/>
      <c r="E147" s="31"/>
      <c r="F147" s="31"/>
    </row>
    <row r="148" spans="1:6" s="32" customFormat="1" ht="15.75" x14ac:dyDescent="0.25">
      <c r="A148" s="31"/>
      <c r="D148" s="31"/>
      <c r="E148" s="31"/>
      <c r="F148" s="31"/>
    </row>
    <row r="149" spans="1:6" s="32" customFormat="1" ht="15.75" x14ac:dyDescent="0.25">
      <c r="A149" s="31"/>
      <c r="D149" s="31"/>
      <c r="E149" s="31"/>
      <c r="F149" s="31"/>
    </row>
    <row r="150" spans="1:6" s="32" customFormat="1" ht="15.75" x14ac:dyDescent="0.25">
      <c r="A150" s="31"/>
      <c r="D150" s="31"/>
      <c r="E150" s="31"/>
      <c r="F150" s="31"/>
    </row>
    <row r="151" spans="1:6" s="32" customFormat="1" ht="15.75" x14ac:dyDescent="0.25">
      <c r="A151" s="31"/>
      <c r="D151" s="31"/>
      <c r="E151" s="31"/>
      <c r="F151" s="31"/>
    </row>
    <row r="152" spans="1:6" s="32" customFormat="1" ht="15.75" x14ac:dyDescent="0.25">
      <c r="A152" s="31"/>
      <c r="D152" s="31"/>
      <c r="E152" s="31"/>
      <c r="F152" s="31"/>
    </row>
    <row r="153" spans="1:6" s="32" customFormat="1" ht="15.75" x14ac:dyDescent="0.25">
      <c r="A153" s="31"/>
      <c r="D153" s="31"/>
      <c r="E153" s="31"/>
      <c r="F153" s="31"/>
    </row>
    <row r="154" spans="1:6" s="32" customFormat="1" ht="15.75" x14ac:dyDescent="0.25">
      <c r="A154" s="31"/>
      <c r="D154" s="31"/>
      <c r="E154" s="31"/>
      <c r="F154" s="31"/>
    </row>
    <row r="155" spans="1:6" s="32" customFormat="1" ht="15.75" x14ac:dyDescent="0.25">
      <c r="A155" s="31"/>
      <c r="D155" s="31"/>
      <c r="E155" s="31"/>
      <c r="F155" s="31"/>
    </row>
    <row r="156" spans="1:6" s="32" customFormat="1" ht="15.75" x14ac:dyDescent="0.25">
      <c r="A156" s="31"/>
      <c r="D156" s="31"/>
      <c r="E156" s="31"/>
      <c r="F156" s="31"/>
    </row>
    <row r="157" spans="1:6" s="32" customFormat="1" ht="15.75" x14ac:dyDescent="0.25">
      <c r="A157" s="31"/>
      <c r="D157" s="31"/>
      <c r="E157" s="31"/>
      <c r="F157" s="31"/>
    </row>
    <row r="158" spans="1:6" s="32" customFormat="1" ht="15.75" x14ac:dyDescent="0.25">
      <c r="A158" s="31"/>
      <c r="D158" s="31"/>
      <c r="E158" s="31"/>
      <c r="F158" s="31"/>
    </row>
    <row r="159" spans="1:6" s="32" customFormat="1" ht="15.75" x14ac:dyDescent="0.25">
      <c r="A159" s="31"/>
      <c r="D159" s="31"/>
      <c r="E159" s="31"/>
      <c r="F159" s="31"/>
    </row>
    <row r="160" spans="1:6" s="32" customFormat="1" ht="15.75" x14ac:dyDescent="0.25">
      <c r="A160" s="31"/>
      <c r="D160" s="31"/>
      <c r="E160" s="31"/>
      <c r="F160" s="31"/>
    </row>
    <row r="161" spans="1:6" s="32" customFormat="1" ht="15.75" x14ac:dyDescent="0.25">
      <c r="A161" s="31"/>
      <c r="D161" s="31"/>
      <c r="E161" s="31"/>
      <c r="F161" s="31"/>
    </row>
    <row r="162" spans="1:6" s="32" customFormat="1" ht="15.75" x14ac:dyDescent="0.25">
      <c r="A162" s="31"/>
      <c r="D162" s="31"/>
      <c r="E162" s="31"/>
      <c r="F162" s="31"/>
    </row>
    <row r="163" spans="1:6" s="32" customFormat="1" ht="15.75" x14ac:dyDescent="0.25">
      <c r="A163" s="31"/>
      <c r="D163" s="31"/>
      <c r="E163" s="31"/>
      <c r="F163" s="31"/>
    </row>
    <row r="164" spans="1:6" s="32" customFormat="1" ht="15.75" x14ac:dyDescent="0.25">
      <c r="A164" s="31"/>
      <c r="D164" s="31"/>
      <c r="E164" s="31"/>
      <c r="F164" s="31"/>
    </row>
    <row r="165" spans="1:6" s="32" customFormat="1" ht="15.75" x14ac:dyDescent="0.25">
      <c r="A165" s="31"/>
      <c r="D165" s="31"/>
      <c r="E165" s="31"/>
      <c r="F165" s="31"/>
    </row>
    <row r="166" spans="1:6" s="32" customFormat="1" ht="15.75" x14ac:dyDescent="0.25">
      <c r="A166" s="31"/>
      <c r="D166" s="31"/>
      <c r="E166" s="31"/>
      <c r="F166" s="31"/>
    </row>
    <row r="167" spans="1:6" s="32" customFormat="1" ht="15.75" x14ac:dyDescent="0.25">
      <c r="A167" s="31"/>
      <c r="D167" s="31"/>
      <c r="E167" s="31"/>
      <c r="F167" s="31"/>
    </row>
    <row r="168" spans="1:6" s="32" customFormat="1" ht="15.75" x14ac:dyDescent="0.25">
      <c r="A168" s="31"/>
      <c r="D168" s="31"/>
      <c r="E168" s="31"/>
      <c r="F168" s="31"/>
    </row>
    <row r="169" spans="1:6" s="32" customFormat="1" ht="15.75" x14ac:dyDescent="0.25">
      <c r="A169" s="31"/>
      <c r="D169" s="31"/>
      <c r="E169" s="31"/>
      <c r="F169" s="31"/>
    </row>
    <row r="170" spans="1:6" s="32" customFormat="1" ht="15.75" x14ac:dyDescent="0.25">
      <c r="A170" s="31"/>
      <c r="D170" s="31"/>
      <c r="E170" s="31"/>
      <c r="F170" s="31"/>
    </row>
    <row r="171" spans="1:6" s="32" customFormat="1" ht="15.75" x14ac:dyDescent="0.25">
      <c r="A171" s="31"/>
      <c r="D171" s="31"/>
      <c r="E171" s="31"/>
      <c r="F171" s="31"/>
    </row>
    <row r="172" spans="1:6" s="32" customFormat="1" ht="15.75" x14ac:dyDescent="0.25">
      <c r="A172" s="31"/>
      <c r="D172" s="31"/>
      <c r="E172" s="31"/>
      <c r="F172" s="31"/>
    </row>
    <row r="173" spans="1:6" s="32" customFormat="1" ht="15.75" x14ac:dyDescent="0.25">
      <c r="A173" s="31"/>
      <c r="D173" s="31"/>
      <c r="E173" s="31"/>
      <c r="F173" s="31"/>
    </row>
    <row r="174" spans="1:6" s="32" customFormat="1" ht="15.75" x14ac:dyDescent="0.25">
      <c r="A174" s="31"/>
      <c r="D174" s="31"/>
      <c r="E174" s="31"/>
      <c r="F174" s="31"/>
    </row>
    <row r="175" spans="1:6" s="32" customFormat="1" ht="15.75" x14ac:dyDescent="0.25">
      <c r="A175" s="31"/>
      <c r="D175" s="31"/>
      <c r="E175" s="31"/>
      <c r="F175" s="31"/>
    </row>
    <row r="176" spans="1:6" s="32" customFormat="1" ht="15.75" x14ac:dyDescent="0.25">
      <c r="A176" s="31"/>
      <c r="D176" s="31"/>
      <c r="E176" s="31"/>
      <c r="F176" s="31"/>
    </row>
    <row r="177" spans="1:6" s="32" customFormat="1" ht="15.75" x14ac:dyDescent="0.25">
      <c r="A177" s="31"/>
      <c r="D177" s="31"/>
      <c r="E177" s="31"/>
      <c r="F177" s="31"/>
    </row>
    <row r="178" spans="1:6" s="32" customFormat="1" ht="15.75" x14ac:dyDescent="0.25">
      <c r="A178" s="31"/>
      <c r="D178" s="31"/>
      <c r="E178" s="31"/>
      <c r="F178" s="31"/>
    </row>
    <row r="179" spans="1:6" s="32" customFormat="1" ht="15.75" x14ac:dyDescent="0.25">
      <c r="A179" s="31"/>
      <c r="D179" s="31"/>
      <c r="E179" s="31"/>
      <c r="F179" s="31"/>
    </row>
    <row r="180" spans="1:6" s="32" customFormat="1" ht="15.75" x14ac:dyDescent="0.25">
      <c r="A180" s="31"/>
      <c r="D180" s="31"/>
      <c r="E180" s="31"/>
      <c r="F180" s="31"/>
    </row>
    <row r="181" spans="1:6" s="32" customFormat="1" ht="15.75" x14ac:dyDescent="0.25">
      <c r="A181" s="31"/>
      <c r="D181" s="31"/>
      <c r="E181" s="31"/>
      <c r="F181" s="31"/>
    </row>
    <row r="182" spans="1:6" s="32" customFormat="1" ht="15.75" x14ac:dyDescent="0.25">
      <c r="A182" s="31"/>
      <c r="D182" s="31"/>
      <c r="E182" s="31"/>
      <c r="F182" s="31"/>
    </row>
    <row r="183" spans="1:6" s="32" customFormat="1" ht="15.75" x14ac:dyDescent="0.25">
      <c r="A183" s="31"/>
      <c r="D183" s="31"/>
      <c r="E183" s="31"/>
      <c r="F183" s="31"/>
    </row>
    <row r="184" spans="1:6" s="32" customFormat="1" ht="15.75" x14ac:dyDescent="0.25">
      <c r="A184" s="31"/>
      <c r="D184" s="31"/>
      <c r="E184" s="31"/>
      <c r="F184" s="31"/>
    </row>
    <row r="185" spans="1:6" s="32" customFormat="1" ht="15.75" x14ac:dyDescent="0.25">
      <c r="A185" s="31"/>
      <c r="D185" s="31"/>
      <c r="E185" s="31"/>
      <c r="F185" s="31"/>
    </row>
    <row r="186" spans="1:6" s="32" customFormat="1" ht="15.75" x14ac:dyDescent="0.25">
      <c r="A186" s="31"/>
      <c r="D186" s="31"/>
      <c r="E186" s="31"/>
      <c r="F186" s="31"/>
    </row>
    <row r="187" spans="1:6" s="32" customFormat="1" ht="15.75" x14ac:dyDescent="0.25">
      <c r="A187" s="31"/>
      <c r="D187" s="31"/>
      <c r="E187" s="31"/>
      <c r="F187" s="31"/>
    </row>
    <row r="188" spans="1:6" s="32" customFormat="1" ht="15.75" x14ac:dyDescent="0.25">
      <c r="A188" s="31"/>
      <c r="D188" s="31"/>
      <c r="E188" s="31"/>
      <c r="F188" s="31"/>
    </row>
    <row r="189" spans="1:6" s="32" customFormat="1" ht="15.75" x14ac:dyDescent="0.25">
      <c r="A189" s="31"/>
      <c r="D189" s="31"/>
      <c r="E189" s="31"/>
      <c r="F189" s="31"/>
    </row>
    <row r="190" spans="1:6" s="32" customFormat="1" ht="15.75" x14ac:dyDescent="0.25">
      <c r="A190" s="31"/>
      <c r="D190" s="31"/>
      <c r="E190" s="31"/>
      <c r="F190" s="31"/>
    </row>
    <row r="191" spans="1:6" s="32" customFormat="1" ht="15.75" x14ac:dyDescent="0.25">
      <c r="A191" s="31"/>
      <c r="D191" s="31"/>
      <c r="E191" s="31"/>
      <c r="F191" s="31"/>
    </row>
    <row r="192" spans="1:6" s="32" customFormat="1" ht="15.75" x14ac:dyDescent="0.25">
      <c r="A192" s="31"/>
      <c r="D192" s="31"/>
      <c r="E192" s="31"/>
      <c r="F192" s="31"/>
    </row>
    <row r="193" spans="1:6" s="32" customFormat="1" ht="15.75" x14ac:dyDescent="0.25">
      <c r="A193" s="31"/>
      <c r="D193" s="31"/>
      <c r="E193" s="31"/>
      <c r="F193" s="31"/>
    </row>
    <row r="194" spans="1:6" s="32" customFormat="1" ht="15.75" x14ac:dyDescent="0.25">
      <c r="A194" s="31"/>
      <c r="D194" s="31"/>
      <c r="E194" s="31"/>
      <c r="F194" s="31"/>
    </row>
    <row r="195" spans="1:6" s="32" customFormat="1" ht="15.75" x14ac:dyDescent="0.25">
      <c r="A195" s="31"/>
      <c r="D195" s="31"/>
      <c r="E195" s="31"/>
      <c r="F195" s="31"/>
    </row>
    <row r="196" spans="1:6" s="32" customFormat="1" ht="15.75" x14ac:dyDescent="0.25">
      <c r="A196" s="31"/>
      <c r="D196" s="31"/>
      <c r="E196" s="31"/>
      <c r="F196" s="31"/>
    </row>
    <row r="197" spans="1:6" s="32" customFormat="1" ht="15.75" x14ac:dyDescent="0.25">
      <c r="A197" s="31"/>
      <c r="D197" s="31"/>
      <c r="E197" s="31"/>
      <c r="F197" s="31"/>
    </row>
    <row r="198" spans="1:6" s="32" customFormat="1" ht="15.75" x14ac:dyDescent="0.25">
      <c r="A198" s="31"/>
      <c r="D198" s="31"/>
      <c r="E198" s="31"/>
      <c r="F198" s="31"/>
    </row>
    <row r="199" spans="1:6" s="32" customFormat="1" ht="15.75" x14ac:dyDescent="0.25">
      <c r="A199" s="31"/>
      <c r="D199" s="31"/>
      <c r="E199" s="31"/>
      <c r="F199" s="31"/>
    </row>
    <row r="200" spans="1:6" s="32" customFormat="1" ht="15.75" x14ac:dyDescent="0.25">
      <c r="A200" s="31"/>
      <c r="D200" s="31"/>
      <c r="E200" s="31"/>
      <c r="F200" s="31"/>
    </row>
    <row r="201" spans="1:6" s="32" customFormat="1" ht="15.75" x14ac:dyDescent="0.25">
      <c r="A201" s="31"/>
      <c r="D201" s="31"/>
      <c r="E201" s="31"/>
      <c r="F201" s="31"/>
    </row>
    <row r="202" spans="1:6" s="32" customFormat="1" ht="15.75" x14ac:dyDescent="0.25">
      <c r="A202" s="31"/>
      <c r="D202" s="31"/>
      <c r="E202" s="31"/>
      <c r="F202" s="31"/>
    </row>
    <row r="203" spans="1:6" s="32" customFormat="1" ht="15.75" x14ac:dyDescent="0.25">
      <c r="A203" s="31"/>
      <c r="D203" s="31"/>
      <c r="E203" s="31"/>
      <c r="F203" s="31"/>
    </row>
    <row r="204" spans="1:6" s="32" customFormat="1" ht="15.75" x14ac:dyDescent="0.25">
      <c r="A204" s="31"/>
      <c r="D204" s="31"/>
      <c r="E204" s="31"/>
      <c r="F204" s="31"/>
    </row>
    <row r="205" spans="1:6" s="32" customFormat="1" ht="15.75" x14ac:dyDescent="0.25">
      <c r="A205" s="31"/>
      <c r="D205" s="31"/>
      <c r="E205" s="31"/>
      <c r="F205" s="31"/>
    </row>
    <row r="206" spans="1:6" s="32" customFormat="1" ht="15.75" x14ac:dyDescent="0.25">
      <c r="A206" s="31"/>
      <c r="D206" s="31"/>
      <c r="E206" s="31"/>
      <c r="F206" s="31"/>
    </row>
    <row r="207" spans="1:6" s="32" customFormat="1" ht="15.75" x14ac:dyDescent="0.25">
      <c r="A207" s="31"/>
      <c r="D207" s="31"/>
      <c r="E207" s="31"/>
      <c r="F207" s="31"/>
    </row>
    <row r="208" spans="1:6" s="32" customFormat="1" ht="15.75" x14ac:dyDescent="0.25">
      <c r="A208" s="31"/>
      <c r="D208" s="31"/>
      <c r="E208" s="31"/>
      <c r="F208" s="31"/>
    </row>
    <row r="209" spans="1:6" s="32" customFormat="1" ht="15.75" x14ac:dyDescent="0.25">
      <c r="A209" s="31"/>
      <c r="D209" s="31"/>
      <c r="E209" s="31"/>
      <c r="F209" s="31"/>
    </row>
    <row r="210" spans="1:6" s="32" customFormat="1" ht="15.75" x14ac:dyDescent="0.25">
      <c r="A210" s="31"/>
      <c r="D210" s="31"/>
      <c r="E210" s="31"/>
      <c r="F210" s="31"/>
    </row>
    <row r="211" spans="1:6" s="32" customFormat="1" ht="15.75" x14ac:dyDescent="0.25">
      <c r="A211" s="31"/>
      <c r="D211" s="31"/>
      <c r="E211" s="31"/>
      <c r="F211" s="31"/>
    </row>
    <row r="212" spans="1:6" s="32" customFormat="1" ht="15.75" x14ac:dyDescent="0.25">
      <c r="A212" s="31"/>
      <c r="D212" s="31"/>
      <c r="E212" s="31"/>
      <c r="F212" s="31"/>
    </row>
    <row r="213" spans="1:6" s="32" customFormat="1" ht="15.75" x14ac:dyDescent="0.25">
      <c r="A213" s="31"/>
      <c r="D213" s="31"/>
      <c r="E213" s="31"/>
      <c r="F213" s="31"/>
    </row>
    <row r="214" spans="1:6" s="32" customFormat="1" ht="15.75" x14ac:dyDescent="0.25">
      <c r="A214" s="31"/>
      <c r="D214" s="31"/>
      <c r="E214" s="31"/>
      <c r="F214" s="31"/>
    </row>
    <row r="215" spans="1:6" s="32" customFormat="1" ht="15.75" x14ac:dyDescent="0.25">
      <c r="A215" s="31"/>
      <c r="D215" s="31"/>
      <c r="E215" s="31"/>
      <c r="F215" s="31"/>
    </row>
    <row r="216" spans="1:6" s="32" customFormat="1" ht="15.75" x14ac:dyDescent="0.25">
      <c r="A216" s="31"/>
      <c r="D216" s="31"/>
      <c r="E216" s="31"/>
      <c r="F216" s="31"/>
    </row>
    <row r="217" spans="1:6" s="32" customFormat="1" ht="15.75" x14ac:dyDescent="0.25">
      <c r="A217" s="31"/>
      <c r="D217" s="31"/>
      <c r="E217" s="31"/>
      <c r="F217" s="31"/>
    </row>
    <row r="218" spans="1:6" s="32" customFormat="1" ht="15.75" x14ac:dyDescent="0.25">
      <c r="A218" s="31"/>
      <c r="D218" s="31"/>
      <c r="E218" s="31"/>
      <c r="F218" s="31"/>
    </row>
    <row r="219" spans="1:6" s="32" customFormat="1" ht="15.75" x14ac:dyDescent="0.25">
      <c r="A219" s="31"/>
      <c r="D219" s="31"/>
      <c r="E219" s="31"/>
      <c r="F219" s="31"/>
    </row>
    <row r="220" spans="1:6" s="32" customFormat="1" ht="15.75" x14ac:dyDescent="0.25">
      <c r="A220" s="31"/>
      <c r="D220" s="31"/>
      <c r="E220" s="31"/>
      <c r="F220" s="31"/>
    </row>
    <row r="221" spans="1:6" s="32" customFormat="1" ht="15.75" x14ac:dyDescent="0.25">
      <c r="A221" s="31"/>
      <c r="D221" s="31"/>
      <c r="E221" s="31"/>
      <c r="F221" s="31"/>
    </row>
    <row r="222" spans="1:6" s="32" customFormat="1" ht="15.75" x14ac:dyDescent="0.25">
      <c r="A222" s="31"/>
      <c r="D222" s="31"/>
      <c r="E222" s="31"/>
      <c r="F222" s="31"/>
    </row>
    <row r="223" spans="1:6" s="32" customFormat="1" ht="15.75" x14ac:dyDescent="0.25">
      <c r="A223" s="31"/>
      <c r="D223" s="31"/>
      <c r="E223" s="31"/>
      <c r="F223" s="31"/>
    </row>
    <row r="224" spans="1:6" s="32" customFormat="1" ht="15.75" x14ac:dyDescent="0.25">
      <c r="A224" s="31"/>
      <c r="D224" s="31"/>
      <c r="E224" s="31"/>
      <c r="F224" s="31"/>
    </row>
    <row r="225" spans="1:6" s="32" customFormat="1" ht="15.75" x14ac:dyDescent="0.25">
      <c r="A225" s="31"/>
      <c r="D225" s="31"/>
      <c r="E225" s="31"/>
      <c r="F225" s="31"/>
    </row>
    <row r="226" spans="1:6" s="32" customFormat="1" ht="15.75" x14ac:dyDescent="0.25">
      <c r="A226" s="31"/>
      <c r="D226" s="31"/>
      <c r="E226" s="31"/>
      <c r="F226" s="31"/>
    </row>
    <row r="227" spans="1:6" s="32" customFormat="1" ht="15.75" x14ac:dyDescent="0.25">
      <c r="A227" s="31"/>
      <c r="D227" s="31"/>
      <c r="E227" s="31"/>
      <c r="F227" s="31"/>
    </row>
    <row r="228" spans="1:6" s="32" customFormat="1" ht="15.75" x14ac:dyDescent="0.25">
      <c r="A228" s="31"/>
      <c r="D228" s="31"/>
      <c r="E228" s="31"/>
      <c r="F228" s="31"/>
    </row>
    <row r="229" spans="1:6" s="32" customFormat="1" ht="15.75" x14ac:dyDescent="0.25">
      <c r="A229" s="31"/>
      <c r="D229" s="31"/>
      <c r="E229" s="31"/>
      <c r="F229" s="31"/>
    </row>
    <row r="230" spans="1:6" s="32" customFormat="1" ht="15.75" x14ac:dyDescent="0.25">
      <c r="A230" s="31"/>
      <c r="D230" s="31"/>
      <c r="E230" s="31"/>
      <c r="F230" s="31"/>
    </row>
    <row r="231" spans="1:6" s="32" customFormat="1" ht="15.75" x14ac:dyDescent="0.25">
      <c r="A231" s="31"/>
      <c r="D231" s="31"/>
      <c r="E231" s="31"/>
      <c r="F231" s="31"/>
    </row>
    <row r="232" spans="1:6" s="32" customFormat="1" ht="15.75" x14ac:dyDescent="0.25">
      <c r="A232" s="31"/>
      <c r="D232" s="31"/>
      <c r="E232" s="31"/>
      <c r="F232" s="31"/>
    </row>
    <row r="233" spans="1:6" s="32" customFormat="1" ht="15.75" x14ac:dyDescent="0.25">
      <c r="A233" s="31"/>
      <c r="D233" s="31"/>
      <c r="E233" s="31"/>
      <c r="F233" s="31"/>
    </row>
    <row r="234" spans="1:6" s="32" customFormat="1" ht="15.75" x14ac:dyDescent="0.25">
      <c r="A234" s="31"/>
      <c r="D234" s="31"/>
      <c r="E234" s="31"/>
      <c r="F234" s="31"/>
    </row>
    <row r="235" spans="1:6" s="32" customFormat="1" ht="15.75" x14ac:dyDescent="0.25">
      <c r="A235" s="31"/>
      <c r="D235" s="31"/>
      <c r="E235" s="31"/>
      <c r="F235" s="31"/>
    </row>
    <row r="236" spans="1:6" s="32" customFormat="1" ht="15.75" x14ac:dyDescent="0.25">
      <c r="A236" s="31"/>
      <c r="D236" s="31"/>
      <c r="E236" s="31"/>
      <c r="F236" s="31"/>
    </row>
    <row r="237" spans="1:6" s="32" customFormat="1" ht="15.75" x14ac:dyDescent="0.25">
      <c r="A237" s="31"/>
      <c r="D237" s="31"/>
      <c r="E237" s="31"/>
      <c r="F237" s="31"/>
    </row>
    <row r="238" spans="1:6" s="32" customFormat="1" ht="15.75" x14ac:dyDescent="0.25">
      <c r="A238" s="31"/>
      <c r="D238" s="31"/>
      <c r="E238" s="31"/>
      <c r="F238" s="31"/>
    </row>
    <row r="239" spans="1:6" s="32" customFormat="1" ht="15.75" x14ac:dyDescent="0.25">
      <c r="A239" s="31"/>
      <c r="D239" s="31"/>
      <c r="E239" s="31"/>
      <c r="F239" s="31"/>
    </row>
    <row r="240" spans="1:6" s="32" customFormat="1" ht="15.75" x14ac:dyDescent="0.25">
      <c r="A240" s="31"/>
      <c r="D240" s="31"/>
      <c r="E240" s="31"/>
      <c r="F240" s="31"/>
    </row>
    <row r="241" spans="1:6" s="32" customFormat="1" ht="15.75" x14ac:dyDescent="0.25">
      <c r="A241" s="31"/>
      <c r="D241" s="31"/>
      <c r="E241" s="31"/>
      <c r="F241" s="31"/>
    </row>
    <row r="242" spans="1:6" s="32" customFormat="1" ht="15.75" x14ac:dyDescent="0.25">
      <c r="A242" s="31"/>
      <c r="D242" s="31"/>
      <c r="E242" s="31"/>
      <c r="F242" s="31"/>
    </row>
    <row r="243" spans="1:6" s="32" customFormat="1" ht="15.75" x14ac:dyDescent="0.25">
      <c r="A243" s="31"/>
      <c r="D243" s="31"/>
      <c r="E243" s="31"/>
      <c r="F243" s="31"/>
    </row>
    <row r="244" spans="1:6" s="32" customFormat="1" ht="15.75" x14ac:dyDescent="0.25">
      <c r="A244" s="31"/>
      <c r="D244" s="31"/>
      <c r="E244" s="31"/>
      <c r="F244" s="31"/>
    </row>
    <row r="245" spans="1:6" s="32" customFormat="1" ht="15.75" x14ac:dyDescent="0.25">
      <c r="A245" s="31"/>
      <c r="D245" s="31"/>
      <c r="E245" s="31"/>
      <c r="F245" s="31"/>
    </row>
    <row r="246" spans="1:6" s="32" customFormat="1" ht="15.75" x14ac:dyDescent="0.25">
      <c r="A246" s="31"/>
      <c r="D246" s="31"/>
      <c r="E246" s="31"/>
      <c r="F246" s="31"/>
    </row>
    <row r="247" spans="1:6" s="32" customFormat="1" ht="15.75" x14ac:dyDescent="0.25">
      <c r="A247" s="31"/>
      <c r="D247" s="31"/>
      <c r="E247" s="31"/>
      <c r="F247" s="31"/>
    </row>
    <row r="248" spans="1:6" s="32" customFormat="1" ht="15.75" x14ac:dyDescent="0.25">
      <c r="A248" s="31"/>
      <c r="D248" s="31"/>
      <c r="E248" s="31"/>
      <c r="F248" s="31"/>
    </row>
    <row r="249" spans="1:6" s="32" customFormat="1" ht="15.75" x14ac:dyDescent="0.25">
      <c r="A249" s="31"/>
      <c r="D249" s="31"/>
      <c r="E249" s="31"/>
      <c r="F249" s="31"/>
    </row>
    <row r="250" spans="1:6" s="32" customFormat="1" ht="15.75" x14ac:dyDescent="0.25">
      <c r="A250" s="31"/>
      <c r="D250" s="31"/>
      <c r="E250" s="31"/>
      <c r="F250" s="31"/>
    </row>
    <row r="251" spans="1:6" s="32" customFormat="1" ht="15.75" x14ac:dyDescent="0.25">
      <c r="A251" s="31"/>
      <c r="D251" s="31"/>
      <c r="E251" s="31"/>
      <c r="F251" s="31"/>
    </row>
    <row r="252" spans="1:6" s="32" customFormat="1" ht="15.75" x14ac:dyDescent="0.25">
      <c r="A252" s="31"/>
      <c r="D252" s="31"/>
      <c r="E252" s="31"/>
      <c r="F252" s="31"/>
    </row>
    <row r="253" spans="1:6" s="32" customFormat="1" ht="15.75" x14ac:dyDescent="0.25">
      <c r="A253" s="31"/>
      <c r="D253" s="31"/>
      <c r="E253" s="31"/>
      <c r="F253" s="31"/>
    </row>
    <row r="254" spans="1:6" s="32" customFormat="1" ht="15.75" x14ac:dyDescent="0.25">
      <c r="A254" s="31"/>
      <c r="D254" s="31"/>
      <c r="E254" s="31"/>
      <c r="F254" s="31"/>
    </row>
    <row r="255" spans="1:6" s="32" customFormat="1" ht="15.75" x14ac:dyDescent="0.25">
      <c r="A255" s="31"/>
      <c r="D255" s="31"/>
      <c r="E255" s="31"/>
      <c r="F255" s="31"/>
    </row>
    <row r="256" spans="1:6" s="32" customFormat="1" ht="15.75" x14ac:dyDescent="0.25">
      <c r="A256" s="31"/>
      <c r="D256" s="31"/>
      <c r="E256" s="31"/>
      <c r="F256" s="31"/>
    </row>
    <row r="257" spans="1:6" s="32" customFormat="1" ht="15.75" x14ac:dyDescent="0.25">
      <c r="A257" s="31"/>
      <c r="D257" s="31"/>
      <c r="E257" s="31"/>
      <c r="F257" s="31"/>
    </row>
    <row r="258" spans="1:6" s="32" customFormat="1" ht="15.75" x14ac:dyDescent="0.25">
      <c r="A258" s="31"/>
      <c r="D258" s="31"/>
      <c r="E258" s="31"/>
      <c r="F258" s="31"/>
    </row>
    <row r="259" spans="1:6" s="32" customFormat="1" ht="15.75" x14ac:dyDescent="0.25">
      <c r="A259" s="31"/>
      <c r="D259" s="31"/>
      <c r="E259" s="31"/>
      <c r="F259" s="31"/>
    </row>
    <row r="260" spans="1:6" s="32" customFormat="1" ht="15.75" x14ac:dyDescent="0.25">
      <c r="A260" s="31"/>
      <c r="D260" s="31"/>
      <c r="E260" s="31"/>
      <c r="F260" s="31"/>
    </row>
    <row r="261" spans="1:6" s="32" customFormat="1" ht="15.75" x14ac:dyDescent="0.25">
      <c r="A261" s="31"/>
      <c r="D261" s="31"/>
      <c r="E261" s="31"/>
      <c r="F261" s="31"/>
    </row>
    <row r="262" spans="1:6" s="32" customFormat="1" ht="15.75" x14ac:dyDescent="0.25">
      <c r="A262" s="31"/>
      <c r="D262" s="31"/>
      <c r="E262" s="31"/>
      <c r="F262" s="31"/>
    </row>
    <row r="263" spans="1:6" s="32" customFormat="1" ht="15.75" x14ac:dyDescent="0.25">
      <c r="A263" s="31"/>
      <c r="D263" s="31"/>
      <c r="E263" s="31"/>
      <c r="F263" s="31"/>
    </row>
    <row r="264" spans="1:6" s="32" customFormat="1" ht="15.75" x14ac:dyDescent="0.25">
      <c r="A264" s="31"/>
      <c r="D264" s="31"/>
      <c r="E264" s="31"/>
      <c r="F264" s="31"/>
    </row>
    <row r="265" spans="1:6" s="32" customFormat="1" ht="15.75" x14ac:dyDescent="0.25">
      <c r="A265" s="31"/>
      <c r="D265" s="31"/>
      <c r="E265" s="31"/>
      <c r="F265" s="31"/>
    </row>
    <row r="266" spans="1:6" s="32" customFormat="1" ht="15.75" x14ac:dyDescent="0.25">
      <c r="A266" s="31"/>
      <c r="D266" s="31"/>
      <c r="E266" s="31"/>
      <c r="F266" s="31"/>
    </row>
    <row r="267" spans="1:6" s="32" customFormat="1" ht="15.75" x14ac:dyDescent="0.25">
      <c r="A267" s="31"/>
      <c r="D267" s="31"/>
      <c r="E267" s="31"/>
      <c r="F267" s="31"/>
    </row>
    <row r="268" spans="1:6" s="32" customFormat="1" ht="15.75" x14ac:dyDescent="0.25">
      <c r="A268" s="31"/>
      <c r="D268" s="31"/>
      <c r="E268" s="31"/>
      <c r="F268" s="31"/>
    </row>
    <row r="269" spans="1:6" s="32" customFormat="1" ht="15.75" x14ac:dyDescent="0.25">
      <c r="A269" s="31"/>
      <c r="D269" s="31"/>
      <c r="E269" s="31"/>
      <c r="F269" s="31"/>
    </row>
    <row r="270" spans="1:6" s="32" customFormat="1" ht="15.75" x14ac:dyDescent="0.25">
      <c r="A270" s="31"/>
      <c r="D270" s="31"/>
      <c r="E270" s="31"/>
      <c r="F270" s="31"/>
    </row>
    <row r="271" spans="1:6" s="32" customFormat="1" ht="15.75" x14ac:dyDescent="0.25">
      <c r="A271" s="31"/>
      <c r="D271" s="31"/>
      <c r="E271" s="31"/>
      <c r="F271" s="31"/>
    </row>
    <row r="272" spans="1:6" s="32" customFormat="1" ht="15.75" x14ac:dyDescent="0.25">
      <c r="A272" s="31"/>
      <c r="D272" s="31"/>
      <c r="E272" s="31"/>
      <c r="F272" s="31"/>
    </row>
    <row r="273" spans="1:6" s="32" customFormat="1" ht="15.75" x14ac:dyDescent="0.25">
      <c r="A273" s="31"/>
      <c r="D273" s="31"/>
      <c r="E273" s="31"/>
      <c r="F273" s="31"/>
    </row>
    <row r="274" spans="1:6" s="32" customFormat="1" ht="15.75" x14ac:dyDescent="0.25">
      <c r="A274" s="31"/>
      <c r="D274" s="31"/>
      <c r="E274" s="31"/>
      <c r="F274" s="31"/>
    </row>
    <row r="275" spans="1:6" s="32" customFormat="1" ht="15.75" x14ac:dyDescent="0.25">
      <c r="A275" s="31"/>
      <c r="D275" s="31"/>
      <c r="E275" s="31"/>
      <c r="F275" s="31"/>
    </row>
    <row r="276" spans="1:6" s="32" customFormat="1" ht="15.75" x14ac:dyDescent="0.25">
      <c r="A276" s="31"/>
      <c r="D276" s="31"/>
      <c r="E276" s="31"/>
      <c r="F276" s="31"/>
    </row>
    <row r="277" spans="1:6" s="32" customFormat="1" ht="15.75" x14ac:dyDescent="0.25">
      <c r="A277" s="31"/>
      <c r="D277" s="31"/>
      <c r="E277" s="31"/>
      <c r="F277" s="31"/>
    </row>
    <row r="278" spans="1:6" s="32" customFormat="1" ht="15.75" x14ac:dyDescent="0.25">
      <c r="A278" s="31"/>
      <c r="D278" s="31"/>
      <c r="E278" s="31"/>
      <c r="F278" s="31"/>
    </row>
    <row r="279" spans="1:6" s="32" customFormat="1" ht="15.75" x14ac:dyDescent="0.25">
      <c r="A279" s="31"/>
      <c r="D279" s="31"/>
      <c r="E279" s="31"/>
      <c r="F279" s="31"/>
    </row>
    <row r="280" spans="1:6" s="32" customFormat="1" ht="15.75" x14ac:dyDescent="0.25">
      <c r="A280" s="31"/>
      <c r="D280" s="31"/>
      <c r="E280" s="31"/>
      <c r="F280" s="31"/>
    </row>
    <row r="281" spans="1:6" s="32" customFormat="1" ht="15.75" x14ac:dyDescent="0.25">
      <c r="A281" s="31"/>
      <c r="D281" s="31"/>
      <c r="E281" s="31"/>
      <c r="F281" s="31"/>
    </row>
    <row r="282" spans="1:6" s="32" customFormat="1" ht="15.75" x14ac:dyDescent="0.25">
      <c r="A282" s="31"/>
      <c r="D282" s="31"/>
      <c r="E282" s="31"/>
      <c r="F282" s="31"/>
    </row>
    <row r="283" spans="1:6" s="32" customFormat="1" ht="15.75" x14ac:dyDescent="0.25">
      <c r="A283" s="31"/>
      <c r="D283" s="31"/>
      <c r="E283" s="31"/>
      <c r="F283" s="31"/>
    </row>
    <row r="284" spans="1:6" s="32" customFormat="1" ht="15.75" x14ac:dyDescent="0.25">
      <c r="A284" s="31"/>
      <c r="D284" s="31"/>
      <c r="E284" s="31"/>
      <c r="F284" s="31"/>
    </row>
    <row r="285" spans="1:6" s="32" customFormat="1" ht="15.75" x14ac:dyDescent="0.25">
      <c r="A285" s="31"/>
      <c r="D285" s="31"/>
      <c r="E285" s="31"/>
      <c r="F285" s="31"/>
    </row>
    <row r="286" spans="1:6" s="32" customFormat="1" ht="15.75" x14ac:dyDescent="0.25">
      <c r="A286" s="31"/>
      <c r="D286" s="31"/>
      <c r="E286" s="31"/>
      <c r="F286" s="31"/>
    </row>
    <row r="287" spans="1:6" s="32" customFormat="1" ht="15.75" x14ac:dyDescent="0.25">
      <c r="A287" s="31"/>
      <c r="D287" s="31"/>
      <c r="E287" s="31"/>
      <c r="F287" s="31"/>
    </row>
    <row r="288" spans="1:6" s="32" customFormat="1" ht="15.75" x14ac:dyDescent="0.25">
      <c r="A288" s="31"/>
      <c r="D288" s="31"/>
      <c r="E288" s="31"/>
      <c r="F288" s="31"/>
    </row>
    <row r="289" spans="1:6" s="32" customFormat="1" ht="15.75" x14ac:dyDescent="0.25">
      <c r="A289" s="31"/>
      <c r="D289" s="31"/>
      <c r="E289" s="31"/>
      <c r="F289" s="31"/>
    </row>
    <row r="290" spans="1:6" s="32" customFormat="1" ht="15.75" x14ac:dyDescent="0.25">
      <c r="A290" s="31"/>
      <c r="D290" s="31"/>
      <c r="E290" s="31"/>
      <c r="F290" s="31"/>
    </row>
    <row r="291" spans="1:6" s="32" customFormat="1" ht="15.75" x14ac:dyDescent="0.25">
      <c r="A291" s="31"/>
      <c r="D291" s="31"/>
      <c r="E291" s="31"/>
      <c r="F291" s="31"/>
    </row>
    <row r="292" spans="1:6" s="32" customFormat="1" ht="15.75" x14ac:dyDescent="0.25">
      <c r="A292" s="31"/>
      <c r="D292" s="31"/>
      <c r="E292" s="31"/>
      <c r="F292" s="31"/>
    </row>
    <row r="293" spans="1:6" s="32" customFormat="1" ht="15.75" x14ac:dyDescent="0.25">
      <c r="A293" s="31"/>
      <c r="D293" s="31"/>
      <c r="E293" s="31"/>
      <c r="F293" s="31"/>
    </row>
    <row r="294" spans="1:6" s="32" customFormat="1" ht="15.75" x14ac:dyDescent="0.25">
      <c r="A294" s="31"/>
      <c r="D294" s="31"/>
      <c r="E294" s="31"/>
      <c r="F294" s="31"/>
    </row>
    <row r="295" spans="1:6" s="32" customFormat="1" ht="15.75" x14ac:dyDescent="0.25">
      <c r="A295" s="31"/>
      <c r="D295" s="31"/>
      <c r="E295" s="31"/>
      <c r="F295" s="31"/>
    </row>
    <row r="296" spans="1:6" s="32" customFormat="1" ht="15.75" x14ac:dyDescent="0.25">
      <c r="A296" s="31"/>
      <c r="D296" s="31"/>
      <c r="E296" s="31"/>
      <c r="F296" s="31"/>
    </row>
    <row r="297" spans="1:6" s="32" customFormat="1" ht="15.75" x14ac:dyDescent="0.25">
      <c r="A297" s="31"/>
      <c r="D297" s="31"/>
      <c r="E297" s="31"/>
      <c r="F297" s="31"/>
    </row>
    <row r="298" spans="1:6" s="32" customFormat="1" ht="15.75" x14ac:dyDescent="0.25">
      <c r="A298" s="31"/>
      <c r="D298" s="31"/>
      <c r="E298" s="31"/>
      <c r="F298" s="31"/>
    </row>
    <row r="299" spans="1:6" s="32" customFormat="1" ht="15.75" x14ac:dyDescent="0.25">
      <c r="A299" s="31"/>
      <c r="D299" s="31"/>
      <c r="E299" s="31"/>
      <c r="F299" s="31"/>
    </row>
    <row r="300" spans="1:6" s="32" customFormat="1" ht="15.75" x14ac:dyDescent="0.25">
      <c r="A300" s="31"/>
      <c r="D300" s="31"/>
      <c r="E300" s="31"/>
      <c r="F300" s="31"/>
    </row>
    <row r="301" spans="1:6" s="32" customFormat="1" ht="15.75" x14ac:dyDescent="0.25">
      <c r="A301" s="31"/>
      <c r="D301" s="31"/>
      <c r="E301" s="31"/>
      <c r="F301" s="31"/>
    </row>
    <row r="302" spans="1:6" s="32" customFormat="1" ht="15.75" x14ac:dyDescent="0.25">
      <c r="A302" s="31"/>
      <c r="D302" s="31"/>
      <c r="E302" s="31"/>
      <c r="F302" s="31"/>
    </row>
    <row r="303" spans="1:6" s="32" customFormat="1" ht="15.75" x14ac:dyDescent="0.25">
      <c r="A303" s="31"/>
      <c r="D303" s="31"/>
      <c r="E303" s="31"/>
      <c r="F303" s="31"/>
    </row>
    <row r="304" spans="1:6" s="32" customFormat="1" ht="15.75" x14ac:dyDescent="0.25">
      <c r="A304" s="31"/>
      <c r="D304" s="31"/>
      <c r="E304" s="31"/>
      <c r="F304" s="31"/>
    </row>
    <row r="305" spans="1:6" s="32" customFormat="1" ht="15.75" x14ac:dyDescent="0.25">
      <c r="A305" s="31"/>
      <c r="D305" s="31"/>
      <c r="E305" s="31"/>
      <c r="F305" s="31"/>
    </row>
    <row r="306" spans="1:6" s="32" customFormat="1" ht="15.75" x14ac:dyDescent="0.25">
      <c r="A306" s="31"/>
      <c r="D306" s="31"/>
      <c r="E306" s="31"/>
      <c r="F306" s="31"/>
    </row>
    <row r="307" spans="1:6" s="32" customFormat="1" ht="15.75" x14ac:dyDescent="0.25">
      <c r="A307" s="31"/>
      <c r="D307" s="31"/>
      <c r="E307" s="31"/>
      <c r="F307" s="31"/>
    </row>
    <row r="308" spans="1:6" s="32" customFormat="1" ht="15.75" x14ac:dyDescent="0.25">
      <c r="A308" s="31"/>
      <c r="D308" s="31"/>
      <c r="E308" s="31"/>
      <c r="F308" s="31"/>
    </row>
    <row r="309" spans="1:6" s="32" customFormat="1" ht="15.75" x14ac:dyDescent="0.25">
      <c r="A309" s="31"/>
      <c r="D309" s="31"/>
      <c r="E309" s="31"/>
      <c r="F309" s="31"/>
    </row>
    <row r="310" spans="1:6" s="32" customFormat="1" ht="15.75" x14ac:dyDescent="0.25">
      <c r="A310" s="31"/>
      <c r="D310" s="31"/>
      <c r="E310" s="31"/>
      <c r="F310" s="31"/>
    </row>
    <row r="311" spans="1:6" s="32" customFormat="1" ht="15.75" x14ac:dyDescent="0.25">
      <c r="A311" s="31"/>
      <c r="D311" s="31"/>
      <c r="E311" s="31"/>
      <c r="F311" s="31"/>
    </row>
    <row r="312" spans="1:6" s="32" customFormat="1" ht="15.75" x14ac:dyDescent="0.25">
      <c r="A312" s="31"/>
      <c r="D312" s="31"/>
      <c r="E312" s="31"/>
      <c r="F312" s="31"/>
    </row>
    <row r="313" spans="1:6" s="32" customFormat="1" ht="15.75" x14ac:dyDescent="0.25">
      <c r="A313" s="31"/>
      <c r="D313" s="31"/>
      <c r="E313" s="31"/>
      <c r="F313" s="31"/>
    </row>
    <row r="314" spans="1:6" s="32" customFormat="1" ht="15.75" x14ac:dyDescent="0.25">
      <c r="A314" s="31"/>
      <c r="D314" s="31"/>
      <c r="E314" s="31"/>
      <c r="F314" s="31"/>
    </row>
    <row r="315" spans="1:6" s="32" customFormat="1" ht="15.75" x14ac:dyDescent="0.25">
      <c r="A315" s="31"/>
      <c r="D315" s="31"/>
      <c r="E315" s="31"/>
      <c r="F315" s="31"/>
    </row>
    <row r="316" spans="1:6" s="32" customFormat="1" ht="15.75" x14ac:dyDescent="0.25">
      <c r="A316" s="31"/>
      <c r="D316" s="31"/>
      <c r="E316" s="31"/>
      <c r="F316" s="31"/>
    </row>
    <row r="317" spans="1:6" s="32" customFormat="1" ht="15.75" x14ac:dyDescent="0.25">
      <c r="A317" s="31"/>
      <c r="D317" s="31"/>
      <c r="E317" s="31"/>
      <c r="F317" s="31"/>
    </row>
    <row r="318" spans="1:6" s="32" customFormat="1" ht="15.75" x14ac:dyDescent="0.25">
      <c r="A318" s="31"/>
      <c r="D318" s="31"/>
      <c r="E318" s="31"/>
      <c r="F318" s="31"/>
    </row>
    <row r="319" spans="1:6" s="32" customFormat="1" ht="15.75" x14ac:dyDescent="0.25">
      <c r="A319" s="31"/>
      <c r="D319" s="31"/>
      <c r="E319" s="31"/>
      <c r="F319" s="31"/>
    </row>
    <row r="320" spans="1:6" s="32" customFormat="1" ht="15.75" x14ac:dyDescent="0.25">
      <c r="A320" s="31"/>
      <c r="D320" s="31"/>
      <c r="E320" s="31"/>
      <c r="F320" s="31"/>
    </row>
    <row r="321" spans="1:6" s="32" customFormat="1" ht="15.75" x14ac:dyDescent="0.25">
      <c r="A321" s="31"/>
      <c r="D321" s="31"/>
      <c r="E321" s="31"/>
      <c r="F321" s="31"/>
    </row>
    <row r="322" spans="1:6" s="32" customFormat="1" ht="15.75" x14ac:dyDescent="0.25">
      <c r="A322" s="31"/>
      <c r="D322" s="31"/>
      <c r="E322" s="31"/>
      <c r="F322" s="31"/>
    </row>
    <row r="323" spans="1:6" s="32" customFormat="1" ht="15.75" x14ac:dyDescent="0.25">
      <c r="A323" s="31"/>
      <c r="D323" s="31"/>
      <c r="E323" s="31"/>
      <c r="F323" s="31"/>
    </row>
    <row r="324" spans="1:6" s="32" customFormat="1" ht="15.75" x14ac:dyDescent="0.25">
      <c r="A324" s="31"/>
      <c r="D324" s="31"/>
      <c r="E324" s="31"/>
      <c r="F324" s="31"/>
    </row>
    <row r="325" spans="1:6" s="32" customFormat="1" ht="15.75" x14ac:dyDescent="0.25">
      <c r="A325" s="31"/>
      <c r="D325" s="31"/>
      <c r="E325" s="31"/>
      <c r="F325" s="31"/>
    </row>
    <row r="326" spans="1:6" s="32" customFormat="1" ht="15.75" x14ac:dyDescent="0.25">
      <c r="A326" s="31"/>
      <c r="D326" s="31"/>
      <c r="E326" s="31"/>
      <c r="F326" s="31"/>
    </row>
    <row r="327" spans="1:6" s="32" customFormat="1" ht="15.75" x14ac:dyDescent="0.25">
      <c r="A327" s="31"/>
      <c r="D327" s="31"/>
      <c r="E327" s="31"/>
      <c r="F327" s="31"/>
    </row>
    <row r="328" spans="1:6" s="32" customFormat="1" ht="15.75" x14ac:dyDescent="0.25">
      <c r="A328" s="31"/>
      <c r="D328" s="31"/>
      <c r="E328" s="31"/>
      <c r="F328" s="31"/>
    </row>
    <row r="329" spans="1:6" s="32" customFormat="1" ht="15.75" x14ac:dyDescent="0.25">
      <c r="A329" s="31"/>
      <c r="D329" s="31"/>
      <c r="E329" s="31"/>
      <c r="F329" s="31"/>
    </row>
    <row r="330" spans="1:6" s="32" customFormat="1" ht="15.75" x14ac:dyDescent="0.25">
      <c r="A330" s="31"/>
      <c r="D330" s="31"/>
      <c r="E330" s="31"/>
      <c r="F330" s="31"/>
    </row>
    <row r="331" spans="1:6" s="32" customFormat="1" ht="15.75" x14ac:dyDescent="0.25">
      <c r="A331" s="31"/>
      <c r="D331" s="31"/>
      <c r="E331" s="31"/>
      <c r="F331" s="31"/>
    </row>
    <row r="332" spans="1:6" s="32" customFormat="1" ht="15.75" x14ac:dyDescent="0.25">
      <c r="A332" s="31"/>
      <c r="D332" s="31"/>
      <c r="E332" s="31"/>
      <c r="F332" s="31"/>
    </row>
    <row r="333" spans="1:6" s="32" customFormat="1" ht="15.75" x14ac:dyDescent="0.25">
      <c r="A333" s="31"/>
      <c r="D333" s="31"/>
      <c r="E333" s="31"/>
      <c r="F333" s="31"/>
    </row>
    <row r="334" spans="1:6" s="32" customFormat="1" ht="15.75" x14ac:dyDescent="0.25">
      <c r="A334" s="31"/>
      <c r="D334" s="31"/>
      <c r="E334" s="31"/>
      <c r="F334" s="31"/>
    </row>
    <row r="335" spans="1:6" s="32" customFormat="1" ht="15.75" x14ac:dyDescent="0.25">
      <c r="A335" s="31"/>
      <c r="D335" s="31"/>
      <c r="E335" s="31"/>
      <c r="F335" s="31"/>
    </row>
    <row r="336" spans="1:6" s="32" customFormat="1" ht="15.75" x14ac:dyDescent="0.25">
      <c r="A336" s="31"/>
      <c r="D336" s="31"/>
      <c r="E336" s="31"/>
      <c r="F336" s="31"/>
    </row>
    <row r="337" spans="1:6" s="32" customFormat="1" ht="15.75" x14ac:dyDescent="0.25">
      <c r="A337" s="31"/>
      <c r="D337" s="31"/>
      <c r="E337" s="31"/>
      <c r="F337" s="31"/>
    </row>
    <row r="338" spans="1:6" s="32" customFormat="1" ht="15.75" x14ac:dyDescent="0.25">
      <c r="A338" s="31"/>
      <c r="D338" s="31"/>
      <c r="E338" s="31"/>
      <c r="F338" s="31"/>
    </row>
    <row r="339" spans="1:6" s="32" customFormat="1" ht="15.75" x14ac:dyDescent="0.25">
      <c r="A339" s="31"/>
      <c r="D339" s="31"/>
      <c r="E339" s="31"/>
      <c r="F339" s="31"/>
    </row>
    <row r="340" spans="1:6" s="32" customFormat="1" ht="15.75" x14ac:dyDescent="0.25">
      <c r="A340" s="31"/>
      <c r="D340" s="31"/>
      <c r="E340" s="31"/>
      <c r="F340" s="31"/>
    </row>
    <row r="341" spans="1:6" s="32" customFormat="1" ht="15.75" x14ac:dyDescent="0.25">
      <c r="A341" s="31"/>
      <c r="D341" s="31"/>
      <c r="E341" s="31"/>
      <c r="F341" s="31"/>
    </row>
    <row r="342" spans="1:6" s="32" customFormat="1" ht="15.75" x14ac:dyDescent="0.25">
      <c r="A342" s="31"/>
      <c r="D342" s="31"/>
      <c r="E342" s="31"/>
      <c r="F342" s="31"/>
    </row>
    <row r="343" spans="1:6" s="32" customFormat="1" ht="15.75" x14ac:dyDescent="0.25">
      <c r="A343" s="31"/>
      <c r="D343" s="31"/>
      <c r="E343" s="31"/>
      <c r="F343" s="31"/>
    </row>
    <row r="344" spans="1:6" s="32" customFormat="1" ht="15.75" x14ac:dyDescent="0.25">
      <c r="A344" s="31"/>
      <c r="D344" s="31"/>
      <c r="E344" s="31"/>
      <c r="F344" s="31"/>
    </row>
    <row r="345" spans="1:6" s="32" customFormat="1" ht="15.75" x14ac:dyDescent="0.25">
      <c r="A345" s="31"/>
      <c r="D345" s="31"/>
      <c r="E345" s="31"/>
      <c r="F345" s="31"/>
    </row>
    <row r="346" spans="1:6" s="32" customFormat="1" ht="15.75" x14ac:dyDescent="0.25">
      <c r="A346" s="31"/>
      <c r="D346" s="31"/>
      <c r="E346" s="31"/>
      <c r="F346" s="31"/>
    </row>
    <row r="347" spans="1:6" s="32" customFormat="1" ht="15.75" x14ac:dyDescent="0.25">
      <c r="A347" s="31"/>
      <c r="D347" s="31"/>
      <c r="E347" s="31"/>
      <c r="F347" s="31"/>
    </row>
    <row r="348" spans="1:6" s="32" customFormat="1" ht="15.75" x14ac:dyDescent="0.25">
      <c r="A348" s="31"/>
      <c r="D348" s="31"/>
      <c r="E348" s="31"/>
      <c r="F348" s="31"/>
    </row>
    <row r="349" spans="1:6" s="32" customFormat="1" ht="15.75" x14ac:dyDescent="0.25">
      <c r="A349" s="31"/>
      <c r="D349" s="31"/>
      <c r="E349" s="31"/>
      <c r="F349" s="31"/>
    </row>
    <row r="350" spans="1:6" s="32" customFormat="1" ht="15.75" x14ac:dyDescent="0.25">
      <c r="A350" s="31"/>
      <c r="D350" s="31"/>
      <c r="E350" s="31"/>
      <c r="F350" s="31"/>
    </row>
    <row r="351" spans="1:6" s="32" customFormat="1" ht="15.75" x14ac:dyDescent="0.25">
      <c r="A351" s="31"/>
      <c r="D351" s="31"/>
      <c r="E351" s="31"/>
      <c r="F351" s="31"/>
    </row>
    <row r="352" spans="1:6" s="32" customFormat="1" ht="15.75" x14ac:dyDescent="0.25">
      <c r="A352" s="31"/>
      <c r="D352" s="31"/>
      <c r="E352" s="31"/>
      <c r="F352" s="31"/>
    </row>
    <row r="353" spans="1:6" s="32" customFormat="1" ht="15.75" x14ac:dyDescent="0.25">
      <c r="A353" s="31"/>
      <c r="D353" s="31"/>
      <c r="E353" s="31"/>
      <c r="F353" s="31"/>
    </row>
    <row r="354" spans="1:6" s="32" customFormat="1" ht="15.75" x14ac:dyDescent="0.25">
      <c r="A354" s="31"/>
      <c r="D354" s="31"/>
      <c r="E354" s="31"/>
      <c r="F354" s="31"/>
    </row>
    <row r="355" spans="1:6" s="32" customFormat="1" ht="15.75" x14ac:dyDescent="0.25">
      <c r="A355" s="31"/>
      <c r="D355" s="31"/>
      <c r="E355" s="31"/>
      <c r="F355" s="31"/>
    </row>
    <row r="356" spans="1:6" s="32" customFormat="1" ht="15.75" x14ac:dyDescent="0.25">
      <c r="A356" s="31"/>
      <c r="D356" s="31"/>
      <c r="E356" s="31"/>
      <c r="F356" s="31"/>
    </row>
    <row r="357" spans="1:6" s="32" customFormat="1" ht="15.75" x14ac:dyDescent="0.25">
      <c r="A357" s="31"/>
      <c r="D357" s="31"/>
      <c r="E357" s="31"/>
      <c r="F357" s="31"/>
    </row>
    <row r="358" spans="1:6" s="32" customFormat="1" ht="15.75" x14ac:dyDescent="0.25">
      <c r="A358" s="31"/>
      <c r="D358" s="31"/>
      <c r="E358" s="31"/>
      <c r="F358" s="31"/>
    </row>
    <row r="359" spans="1:6" s="32" customFormat="1" ht="15.75" x14ac:dyDescent="0.25">
      <c r="A359" s="31"/>
      <c r="D359" s="31"/>
      <c r="E359" s="31"/>
      <c r="F359" s="31"/>
    </row>
    <row r="360" spans="1:6" s="32" customFormat="1" ht="15.75" x14ac:dyDescent="0.25">
      <c r="A360" s="31"/>
      <c r="D360" s="31"/>
      <c r="E360" s="31"/>
      <c r="F360" s="31"/>
    </row>
    <row r="361" spans="1:6" s="32" customFormat="1" ht="15.75" x14ac:dyDescent="0.25">
      <c r="A361" s="31"/>
      <c r="D361" s="31"/>
      <c r="E361" s="31"/>
      <c r="F361" s="31"/>
    </row>
    <row r="362" spans="1:6" s="32" customFormat="1" ht="15.75" x14ac:dyDescent="0.25">
      <c r="A362" s="31"/>
      <c r="D362" s="31"/>
      <c r="E362" s="31"/>
      <c r="F362" s="31"/>
    </row>
    <row r="363" spans="1:6" s="32" customFormat="1" ht="15.75" x14ac:dyDescent="0.25">
      <c r="A363" s="31"/>
      <c r="D363" s="31"/>
      <c r="E363" s="31"/>
      <c r="F363" s="31"/>
    </row>
    <row r="364" spans="1:6" s="32" customFormat="1" ht="15.75" x14ac:dyDescent="0.25">
      <c r="A364" s="31"/>
      <c r="D364" s="31"/>
      <c r="E364" s="31"/>
      <c r="F364" s="31"/>
    </row>
    <row r="365" spans="1:6" s="32" customFormat="1" ht="15.75" x14ac:dyDescent="0.25">
      <c r="A365" s="31"/>
      <c r="D365" s="31"/>
      <c r="E365" s="31"/>
      <c r="F365" s="31"/>
    </row>
    <row r="366" spans="1:6" s="32" customFormat="1" ht="15.75" x14ac:dyDescent="0.25">
      <c r="A366" s="31"/>
      <c r="D366" s="31"/>
      <c r="E366" s="31"/>
      <c r="F366" s="31"/>
    </row>
    <row r="367" spans="1:6" s="32" customFormat="1" ht="15.75" x14ac:dyDescent="0.25">
      <c r="A367" s="31"/>
      <c r="D367" s="31"/>
      <c r="E367" s="31"/>
      <c r="F367" s="31"/>
    </row>
    <row r="368" spans="1:6" s="32" customFormat="1" ht="15.75" x14ac:dyDescent="0.25">
      <c r="A368" s="31"/>
      <c r="D368" s="31"/>
      <c r="E368" s="31"/>
      <c r="F368" s="31"/>
    </row>
    <row r="369" spans="1:6" s="32" customFormat="1" ht="15.75" x14ac:dyDescent="0.25">
      <c r="A369" s="31"/>
      <c r="D369" s="31"/>
      <c r="E369" s="31"/>
      <c r="F369" s="31"/>
    </row>
    <row r="370" spans="1:6" s="32" customFormat="1" ht="15.75" x14ac:dyDescent="0.25">
      <c r="A370" s="31"/>
      <c r="D370" s="31"/>
      <c r="E370" s="31"/>
      <c r="F370" s="31"/>
    </row>
    <row r="371" spans="1:6" s="32" customFormat="1" ht="15.75" x14ac:dyDescent="0.25">
      <c r="A371" s="31"/>
      <c r="D371" s="31"/>
      <c r="E371" s="31"/>
      <c r="F371" s="31"/>
    </row>
    <row r="372" spans="1:6" s="32" customFormat="1" ht="15.75" x14ac:dyDescent="0.25">
      <c r="A372" s="31"/>
      <c r="D372" s="31"/>
      <c r="E372" s="31"/>
      <c r="F372" s="31"/>
    </row>
    <row r="373" spans="1:6" s="32" customFormat="1" ht="15.75" x14ac:dyDescent="0.25">
      <c r="A373" s="31"/>
      <c r="D373" s="31"/>
      <c r="E373" s="31"/>
      <c r="F373" s="31"/>
    </row>
    <row r="374" spans="1:6" s="32" customFormat="1" ht="15.75" x14ac:dyDescent="0.25">
      <c r="A374" s="31"/>
      <c r="D374" s="31"/>
      <c r="E374" s="31"/>
      <c r="F374" s="31"/>
    </row>
    <row r="375" spans="1:6" s="32" customFormat="1" ht="15.75" x14ac:dyDescent="0.25">
      <c r="A375" s="31"/>
      <c r="D375" s="31"/>
      <c r="E375" s="31"/>
      <c r="F375" s="31"/>
    </row>
    <row r="376" spans="1:6" s="32" customFormat="1" ht="15.75" x14ac:dyDescent="0.25">
      <c r="A376" s="31"/>
      <c r="D376" s="31"/>
      <c r="E376" s="31"/>
      <c r="F376" s="31"/>
    </row>
    <row r="377" spans="1:6" s="32" customFormat="1" ht="15.75" x14ac:dyDescent="0.25">
      <c r="A377" s="31"/>
      <c r="D377" s="31"/>
      <c r="E377" s="31"/>
      <c r="F377" s="31"/>
    </row>
    <row r="378" spans="1:6" s="32" customFormat="1" ht="15.75" x14ac:dyDescent="0.25">
      <c r="A378" s="31"/>
      <c r="D378" s="31"/>
      <c r="E378" s="31"/>
      <c r="F378" s="31"/>
    </row>
    <row r="379" spans="1:6" s="32" customFormat="1" ht="15.75" x14ac:dyDescent="0.25">
      <c r="A379" s="31"/>
      <c r="D379" s="31"/>
      <c r="E379" s="31"/>
      <c r="F379" s="31"/>
    </row>
    <row r="380" spans="1:6" s="32" customFormat="1" ht="15.75" x14ac:dyDescent="0.25">
      <c r="A380" s="31"/>
      <c r="D380" s="31"/>
      <c r="E380" s="31"/>
      <c r="F380" s="31"/>
    </row>
    <row r="381" spans="1:6" s="32" customFormat="1" ht="15.75" x14ac:dyDescent="0.25">
      <c r="A381" s="31"/>
      <c r="D381" s="31"/>
      <c r="E381" s="31"/>
      <c r="F381" s="31"/>
    </row>
    <row r="382" spans="1:6" s="32" customFormat="1" ht="15.75" x14ac:dyDescent="0.25">
      <c r="A382" s="31"/>
      <c r="D382" s="31"/>
      <c r="E382" s="31"/>
      <c r="F382" s="31"/>
    </row>
    <row r="383" spans="1:6" s="32" customFormat="1" ht="15.75" x14ac:dyDescent="0.25">
      <c r="A383" s="31"/>
      <c r="D383" s="31"/>
      <c r="E383" s="31"/>
      <c r="F383" s="31"/>
    </row>
    <row r="384" spans="1:6" s="32" customFormat="1" ht="15.75" x14ac:dyDescent="0.25">
      <c r="A384" s="31"/>
      <c r="D384" s="31"/>
      <c r="E384" s="31"/>
      <c r="F384" s="31"/>
    </row>
    <row r="385" spans="1:6" s="32" customFormat="1" ht="15.75" x14ac:dyDescent="0.25">
      <c r="A385" s="31"/>
      <c r="D385" s="31"/>
      <c r="E385" s="31"/>
      <c r="F385" s="31"/>
    </row>
    <row r="386" spans="1:6" s="32" customFormat="1" ht="15.75" x14ac:dyDescent="0.25">
      <c r="A386" s="31"/>
      <c r="D386" s="31"/>
      <c r="E386" s="31"/>
      <c r="F386" s="31"/>
    </row>
    <row r="387" spans="1:6" s="32" customFormat="1" ht="15.75" x14ac:dyDescent="0.25">
      <c r="A387" s="31"/>
      <c r="D387" s="31"/>
      <c r="E387" s="31"/>
      <c r="F387" s="31"/>
    </row>
    <row r="388" spans="1:6" s="32" customFormat="1" ht="15.75" x14ac:dyDescent="0.25">
      <c r="A388" s="31"/>
      <c r="D388" s="31"/>
      <c r="E388" s="31"/>
      <c r="F388" s="31"/>
    </row>
    <row r="389" spans="1:6" s="32" customFormat="1" ht="15.75" x14ac:dyDescent="0.25">
      <c r="A389" s="31"/>
      <c r="D389" s="31"/>
      <c r="E389" s="31"/>
      <c r="F389" s="31"/>
    </row>
    <row r="390" spans="1:6" s="32" customFormat="1" ht="15.75" x14ac:dyDescent="0.25">
      <c r="A390" s="31"/>
      <c r="D390" s="31"/>
      <c r="E390" s="31"/>
      <c r="F390" s="31"/>
    </row>
    <row r="391" spans="1:6" s="32" customFormat="1" ht="15.75" x14ac:dyDescent="0.25">
      <c r="A391" s="31"/>
      <c r="D391" s="31"/>
      <c r="E391" s="31"/>
      <c r="F391" s="31"/>
    </row>
    <row r="392" spans="1:6" s="32" customFormat="1" ht="15.75" x14ac:dyDescent="0.25">
      <c r="A392" s="31"/>
      <c r="D392" s="31"/>
      <c r="E392" s="31"/>
      <c r="F392" s="31"/>
    </row>
    <row r="393" spans="1:6" s="32" customFormat="1" ht="15.75" x14ac:dyDescent="0.25">
      <c r="A393" s="31"/>
      <c r="D393" s="31"/>
      <c r="E393" s="31"/>
      <c r="F393" s="31"/>
    </row>
    <row r="394" spans="1:6" s="32" customFormat="1" ht="15.75" x14ac:dyDescent="0.25">
      <c r="A394" s="31"/>
      <c r="D394" s="31"/>
      <c r="E394" s="31"/>
      <c r="F394" s="31"/>
    </row>
    <row r="395" spans="1:6" s="32" customFormat="1" ht="15.75" x14ac:dyDescent="0.25">
      <c r="A395" s="31"/>
      <c r="D395" s="31"/>
      <c r="E395" s="31"/>
      <c r="F395" s="31"/>
    </row>
    <row r="396" spans="1:6" s="32" customFormat="1" ht="15.75" x14ac:dyDescent="0.25">
      <c r="A396" s="31"/>
      <c r="D396" s="31"/>
      <c r="E396" s="31"/>
      <c r="F396" s="31"/>
    </row>
    <row r="397" spans="1:6" s="32" customFormat="1" ht="15.75" x14ac:dyDescent="0.25">
      <c r="A397" s="31"/>
      <c r="D397" s="31"/>
      <c r="E397" s="31"/>
      <c r="F397" s="31"/>
    </row>
    <row r="398" spans="1:6" s="32" customFormat="1" ht="15.75" x14ac:dyDescent="0.25">
      <c r="A398" s="31"/>
      <c r="D398" s="31"/>
      <c r="E398" s="31"/>
      <c r="F398" s="31"/>
    </row>
    <row r="399" spans="1:6" s="32" customFormat="1" ht="15.75" x14ac:dyDescent="0.25">
      <c r="A399" s="31"/>
      <c r="D399" s="31"/>
      <c r="E399" s="31"/>
      <c r="F399" s="31"/>
    </row>
    <row r="400" spans="1:6" s="32" customFormat="1" ht="15.75" x14ac:dyDescent="0.25">
      <c r="A400" s="31"/>
      <c r="D400" s="31"/>
      <c r="E400" s="31"/>
      <c r="F400" s="31"/>
    </row>
    <row r="401" spans="1:6" s="32" customFormat="1" ht="15.75" x14ac:dyDescent="0.25">
      <c r="A401" s="31"/>
      <c r="D401" s="31"/>
      <c r="E401" s="31"/>
      <c r="F401" s="31"/>
    </row>
    <row r="402" spans="1:6" s="32" customFormat="1" ht="15.75" x14ac:dyDescent="0.25">
      <c r="A402" s="31"/>
      <c r="D402" s="31"/>
      <c r="E402" s="31"/>
      <c r="F402" s="31"/>
    </row>
    <row r="403" spans="1:6" s="32" customFormat="1" ht="15.75" x14ac:dyDescent="0.25">
      <c r="A403" s="31"/>
      <c r="D403" s="31"/>
      <c r="E403" s="31"/>
      <c r="F403" s="31"/>
    </row>
    <row r="404" spans="1:6" s="32" customFormat="1" ht="15.75" x14ac:dyDescent="0.25">
      <c r="A404" s="31"/>
      <c r="D404" s="31"/>
      <c r="E404" s="31"/>
      <c r="F404" s="31"/>
    </row>
    <row r="405" spans="1:6" s="32" customFormat="1" ht="15.75" x14ac:dyDescent="0.25">
      <c r="A405" s="31"/>
      <c r="D405" s="31"/>
      <c r="E405" s="31"/>
      <c r="F405" s="31"/>
    </row>
    <row r="406" spans="1:6" s="32" customFormat="1" ht="15.75" x14ac:dyDescent="0.25">
      <c r="A406" s="31"/>
      <c r="D406" s="31"/>
      <c r="E406" s="31"/>
      <c r="F406" s="31"/>
    </row>
    <row r="407" spans="1:6" s="32" customFormat="1" ht="15.75" x14ac:dyDescent="0.25">
      <c r="A407" s="31"/>
      <c r="D407" s="31"/>
      <c r="E407" s="31"/>
      <c r="F407" s="31"/>
    </row>
    <row r="408" spans="1:6" s="32" customFormat="1" ht="15.75" x14ac:dyDescent="0.25">
      <c r="A408" s="31"/>
      <c r="D408" s="31"/>
      <c r="E408" s="31"/>
      <c r="F408" s="31"/>
    </row>
    <row r="409" spans="1:6" s="32" customFormat="1" ht="15.75" x14ac:dyDescent="0.25">
      <c r="A409" s="31"/>
      <c r="D409" s="31"/>
      <c r="E409" s="31"/>
      <c r="F409" s="31"/>
    </row>
    <row r="410" spans="1:6" s="32" customFormat="1" ht="15.75" x14ac:dyDescent="0.25">
      <c r="A410" s="31"/>
      <c r="D410" s="31"/>
      <c r="E410" s="31"/>
      <c r="F410" s="31"/>
    </row>
    <row r="411" spans="1:6" s="32" customFormat="1" ht="15.75" x14ac:dyDescent="0.25">
      <c r="A411" s="31"/>
      <c r="D411" s="31"/>
      <c r="E411" s="31"/>
      <c r="F411" s="31"/>
    </row>
    <row r="412" spans="1:6" s="32" customFormat="1" ht="15.75" x14ac:dyDescent="0.25">
      <c r="A412" s="31"/>
      <c r="D412" s="31"/>
      <c r="E412" s="31"/>
      <c r="F412" s="31"/>
    </row>
    <row r="413" spans="1:6" s="32" customFormat="1" ht="15.75" x14ac:dyDescent="0.25">
      <c r="A413" s="31"/>
      <c r="D413" s="31"/>
      <c r="E413" s="31"/>
      <c r="F413" s="31"/>
    </row>
    <row r="414" spans="1:6" s="32" customFormat="1" ht="15.75" x14ac:dyDescent="0.25">
      <c r="A414" s="31"/>
      <c r="D414" s="31"/>
      <c r="E414" s="31"/>
      <c r="F414" s="31"/>
    </row>
    <row r="415" spans="1:6" s="32" customFormat="1" ht="15.75" x14ac:dyDescent="0.25">
      <c r="A415" s="31"/>
      <c r="D415" s="31"/>
      <c r="E415" s="31"/>
      <c r="F415" s="31"/>
    </row>
    <row r="416" spans="1:6" s="32" customFormat="1" ht="15.75" x14ac:dyDescent="0.25">
      <c r="A416" s="31"/>
      <c r="D416" s="31"/>
      <c r="E416" s="31"/>
      <c r="F416" s="31"/>
    </row>
    <row r="417" spans="1:6" s="32" customFormat="1" ht="15.75" x14ac:dyDescent="0.25">
      <c r="A417" s="31"/>
      <c r="D417" s="31"/>
      <c r="E417" s="31"/>
      <c r="F417" s="31"/>
    </row>
    <row r="418" spans="1:6" s="32" customFormat="1" ht="15.75" x14ac:dyDescent="0.25">
      <c r="A418" s="31"/>
      <c r="D418" s="31"/>
      <c r="E418" s="31"/>
      <c r="F418" s="31"/>
    </row>
    <row r="419" spans="1:6" s="32" customFormat="1" ht="15.75" x14ac:dyDescent="0.25">
      <c r="A419" s="31"/>
      <c r="D419" s="31"/>
      <c r="E419" s="31"/>
      <c r="F419" s="31"/>
    </row>
    <row r="420" spans="1:6" s="32" customFormat="1" ht="15.75" x14ac:dyDescent="0.25">
      <c r="A420" s="31"/>
      <c r="D420" s="31"/>
      <c r="E420" s="31"/>
      <c r="F420" s="31"/>
    </row>
    <row r="421" spans="1:6" s="32" customFormat="1" ht="15.75" x14ac:dyDescent="0.25">
      <c r="A421" s="31"/>
      <c r="D421" s="31"/>
      <c r="E421" s="31"/>
      <c r="F421" s="31"/>
    </row>
    <row r="422" spans="1:6" s="32" customFormat="1" ht="15.75" x14ac:dyDescent="0.25">
      <c r="A422" s="31"/>
      <c r="D422" s="31"/>
      <c r="E422" s="31"/>
      <c r="F422" s="31"/>
    </row>
    <row r="423" spans="1:6" s="32" customFormat="1" ht="15.75" x14ac:dyDescent="0.25">
      <c r="A423" s="31"/>
      <c r="D423" s="31"/>
      <c r="E423" s="31"/>
      <c r="F423" s="31"/>
    </row>
    <row r="424" spans="1:6" s="32" customFormat="1" ht="15.75" x14ac:dyDescent="0.25">
      <c r="A424" s="31"/>
      <c r="D424" s="31"/>
      <c r="E424" s="31"/>
      <c r="F424" s="31"/>
    </row>
    <row r="425" spans="1:6" s="32" customFormat="1" ht="15.75" x14ac:dyDescent="0.25">
      <c r="A425" s="31"/>
      <c r="D425" s="31"/>
      <c r="E425" s="31"/>
      <c r="F425" s="31"/>
    </row>
    <row r="426" spans="1:6" s="32" customFormat="1" ht="15.75" x14ac:dyDescent="0.25">
      <c r="A426" s="31"/>
      <c r="D426" s="31"/>
      <c r="E426" s="31"/>
      <c r="F426" s="31"/>
    </row>
    <row r="427" spans="1:6" s="32" customFormat="1" ht="15.75" x14ac:dyDescent="0.25">
      <c r="A427" s="31"/>
      <c r="D427" s="31"/>
      <c r="E427" s="31"/>
      <c r="F427" s="31"/>
    </row>
    <row r="428" spans="1:6" s="32" customFormat="1" ht="15.75" x14ac:dyDescent="0.25">
      <c r="A428" s="31"/>
      <c r="D428" s="31"/>
      <c r="E428" s="31"/>
      <c r="F428" s="31"/>
    </row>
    <row r="429" spans="1:6" s="32" customFormat="1" ht="15.75" x14ac:dyDescent="0.25">
      <c r="A429" s="31"/>
      <c r="D429" s="31"/>
      <c r="E429" s="31"/>
      <c r="F429" s="31"/>
    </row>
    <row r="430" spans="1:6" s="32" customFormat="1" ht="15.75" x14ac:dyDescent="0.25">
      <c r="A430" s="31"/>
      <c r="D430" s="31"/>
      <c r="E430" s="31"/>
      <c r="F430" s="31"/>
    </row>
    <row r="431" spans="1:6" s="32" customFormat="1" ht="15.75" x14ac:dyDescent="0.25">
      <c r="A431" s="31"/>
      <c r="D431" s="31"/>
      <c r="E431" s="31"/>
      <c r="F431" s="31"/>
    </row>
    <row r="432" spans="1:6" s="32" customFormat="1" ht="15.75" x14ac:dyDescent="0.25">
      <c r="A432" s="31"/>
      <c r="D432" s="31"/>
      <c r="E432" s="31"/>
      <c r="F432" s="31"/>
    </row>
    <row r="433" spans="1:6" s="32" customFormat="1" ht="15.75" x14ac:dyDescent="0.25">
      <c r="A433" s="31"/>
      <c r="D433" s="31"/>
      <c r="E433" s="31"/>
      <c r="F433" s="31"/>
    </row>
    <row r="434" spans="1:6" s="32" customFormat="1" ht="15.75" x14ac:dyDescent="0.25">
      <c r="A434" s="31"/>
      <c r="D434" s="31"/>
      <c r="E434" s="31"/>
      <c r="F434" s="31"/>
    </row>
    <row r="435" spans="1:6" s="32" customFormat="1" ht="15.75" x14ac:dyDescent="0.25">
      <c r="A435" s="31"/>
      <c r="D435" s="31"/>
      <c r="E435" s="31"/>
      <c r="F435" s="31"/>
    </row>
    <row r="436" spans="1:6" s="32" customFormat="1" ht="15.75" x14ac:dyDescent="0.25">
      <c r="A436" s="31"/>
      <c r="D436" s="31"/>
      <c r="E436" s="31"/>
      <c r="F436" s="31"/>
    </row>
    <row r="437" spans="1:6" s="32" customFormat="1" ht="15.75" x14ac:dyDescent="0.25">
      <c r="A437" s="31"/>
      <c r="D437" s="31"/>
      <c r="E437" s="31"/>
      <c r="F437" s="31"/>
    </row>
    <row r="438" spans="1:6" s="32" customFormat="1" ht="15.75" x14ac:dyDescent="0.25">
      <c r="A438" s="31"/>
      <c r="D438" s="31"/>
      <c r="E438" s="31"/>
      <c r="F438" s="31"/>
    </row>
    <row r="439" spans="1:6" s="32" customFormat="1" ht="15.75" x14ac:dyDescent="0.25">
      <c r="A439" s="31"/>
      <c r="D439" s="31"/>
      <c r="E439" s="31"/>
      <c r="F439" s="31"/>
    </row>
    <row r="440" spans="1:6" s="32" customFormat="1" ht="15.75" x14ac:dyDescent="0.25">
      <c r="A440" s="31"/>
      <c r="D440" s="31"/>
      <c r="E440" s="31"/>
      <c r="F440" s="31"/>
    </row>
    <row r="441" spans="1:6" s="32" customFormat="1" ht="15.75" x14ac:dyDescent="0.25">
      <c r="A441" s="31"/>
      <c r="D441" s="31"/>
      <c r="E441" s="31"/>
      <c r="F441" s="31"/>
    </row>
    <row r="442" spans="1:6" s="32" customFormat="1" ht="15.75" x14ac:dyDescent="0.25">
      <c r="A442" s="31"/>
      <c r="D442" s="31"/>
      <c r="E442" s="31"/>
      <c r="F442" s="31"/>
    </row>
    <row r="443" spans="1:6" s="32" customFormat="1" ht="15.75" x14ac:dyDescent="0.25">
      <c r="A443" s="31"/>
      <c r="D443" s="31"/>
      <c r="E443" s="31"/>
      <c r="F443" s="31"/>
    </row>
    <row r="444" spans="1:6" s="32" customFormat="1" ht="15.75" x14ac:dyDescent="0.25">
      <c r="A444" s="31"/>
      <c r="D444" s="31"/>
      <c r="E444" s="31"/>
      <c r="F444" s="31"/>
    </row>
    <row r="445" spans="1:6" s="32" customFormat="1" ht="15.75" x14ac:dyDescent="0.25">
      <c r="A445" s="31"/>
      <c r="D445" s="31"/>
      <c r="E445" s="31"/>
      <c r="F445" s="31"/>
    </row>
    <row r="446" spans="1:6" s="32" customFormat="1" ht="15.75" x14ac:dyDescent="0.25">
      <c r="A446" s="31"/>
      <c r="D446" s="31"/>
      <c r="E446" s="31"/>
      <c r="F446" s="31"/>
    </row>
    <row r="447" spans="1:6" s="32" customFormat="1" ht="15.75" x14ac:dyDescent="0.25">
      <c r="A447" s="31"/>
      <c r="D447" s="31"/>
      <c r="E447" s="31"/>
      <c r="F447" s="31"/>
    </row>
    <row r="448" spans="1:6" s="32" customFormat="1" ht="15.75" x14ac:dyDescent="0.25">
      <c r="A448" s="31"/>
      <c r="D448" s="31"/>
      <c r="E448" s="31"/>
      <c r="F448" s="31"/>
    </row>
    <row r="449" spans="1:6" s="32" customFormat="1" ht="15.75" x14ac:dyDescent="0.25">
      <c r="A449" s="31"/>
      <c r="D449" s="31"/>
      <c r="E449" s="31"/>
      <c r="F449" s="31"/>
    </row>
    <row r="450" spans="1:6" s="32" customFormat="1" ht="15.75" x14ac:dyDescent="0.25">
      <c r="A450" s="31"/>
      <c r="D450" s="31"/>
      <c r="E450" s="31"/>
      <c r="F450" s="31"/>
    </row>
    <row r="451" spans="1:6" s="32" customFormat="1" ht="15.75" x14ac:dyDescent="0.25">
      <c r="A451" s="31"/>
      <c r="D451" s="31"/>
      <c r="E451" s="31"/>
      <c r="F451" s="31"/>
    </row>
    <row r="452" spans="1:6" s="32" customFormat="1" ht="15.75" x14ac:dyDescent="0.25">
      <c r="A452" s="31"/>
      <c r="D452" s="31"/>
      <c r="E452" s="31"/>
      <c r="F452" s="31"/>
    </row>
    <row r="453" spans="1:6" s="32" customFormat="1" ht="15.75" x14ac:dyDescent="0.25">
      <c r="A453" s="31"/>
      <c r="D453" s="31"/>
      <c r="E453" s="31"/>
      <c r="F453" s="31"/>
    </row>
    <row r="454" spans="1:6" s="32" customFormat="1" ht="15.75" x14ac:dyDescent="0.25">
      <c r="A454" s="31"/>
      <c r="D454" s="31"/>
      <c r="E454" s="31"/>
      <c r="F454" s="31"/>
    </row>
    <row r="455" spans="1:6" s="32" customFormat="1" ht="15.75" x14ac:dyDescent="0.25">
      <c r="A455" s="31"/>
      <c r="D455" s="31"/>
      <c r="E455" s="31"/>
      <c r="F455" s="31"/>
    </row>
    <row r="456" spans="1:6" s="32" customFormat="1" ht="15.75" x14ac:dyDescent="0.25">
      <c r="A456" s="31"/>
      <c r="D456" s="31"/>
      <c r="E456" s="31"/>
      <c r="F456" s="31"/>
    </row>
    <row r="457" spans="1:6" s="32" customFormat="1" ht="15.75" x14ac:dyDescent="0.25">
      <c r="A457" s="31"/>
      <c r="D457" s="31"/>
      <c r="E457" s="31"/>
      <c r="F457" s="31"/>
    </row>
    <row r="458" spans="1:6" s="32" customFormat="1" ht="15.75" x14ac:dyDescent="0.25">
      <c r="A458" s="31"/>
      <c r="D458" s="31"/>
      <c r="E458" s="31"/>
      <c r="F458" s="31"/>
    </row>
    <row r="459" spans="1:6" s="32" customFormat="1" ht="15.75" x14ac:dyDescent="0.25">
      <c r="A459" s="31"/>
      <c r="D459" s="31"/>
      <c r="E459" s="31"/>
      <c r="F459" s="31"/>
    </row>
    <row r="460" spans="1:6" s="32" customFormat="1" ht="15.75" x14ac:dyDescent="0.25">
      <c r="A460" s="31"/>
      <c r="D460" s="31"/>
      <c r="E460" s="31"/>
      <c r="F460" s="31"/>
    </row>
    <row r="461" spans="1:6" s="32" customFormat="1" ht="15.75" x14ac:dyDescent="0.25">
      <c r="A461" s="31"/>
      <c r="D461" s="31"/>
      <c r="E461" s="31"/>
      <c r="F461" s="31"/>
    </row>
    <row r="462" spans="1:6" s="32" customFormat="1" ht="15.75" x14ac:dyDescent="0.25">
      <c r="A462" s="31"/>
      <c r="D462" s="31"/>
      <c r="E462" s="31"/>
      <c r="F462" s="31"/>
    </row>
    <row r="463" spans="1:6" s="32" customFormat="1" ht="15.75" x14ac:dyDescent="0.25">
      <c r="A463" s="31"/>
      <c r="D463" s="31"/>
      <c r="E463" s="31"/>
      <c r="F463" s="31"/>
    </row>
    <row r="464" spans="1:6" s="32" customFormat="1" thickBot="1" x14ac:dyDescent="0.3">
      <c r="A464" s="31"/>
      <c r="D464" s="31"/>
      <c r="E464" s="31"/>
      <c r="F464" s="3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1"/>
  <sheetViews>
    <sheetView zoomScale="73" zoomScaleNormal="96" workbookViewId="0">
      <selection activeCell="D156" sqref="D156"/>
    </sheetView>
  </sheetViews>
  <sheetFormatPr defaultRowHeight="15.75" x14ac:dyDescent="0.25"/>
  <cols>
    <col min="1" max="1" width="9.140625" style="4"/>
    <col min="2" max="2" width="19.42578125" style="4" bestFit="1" customWidth="1"/>
    <col min="3" max="3" width="17.140625" style="4" bestFit="1" customWidth="1"/>
    <col min="4" max="4" width="53.7109375" style="4" bestFit="1" customWidth="1"/>
    <col min="5" max="5" width="53.7109375" style="4" customWidth="1"/>
    <col min="6" max="6" width="36.7109375" style="4" customWidth="1"/>
    <col min="7" max="7" width="19.140625" style="4" hidden="1" customWidth="1"/>
    <col min="8" max="8" width="19.140625" style="4" customWidth="1"/>
    <col min="9" max="9" width="21.140625" style="4" bestFit="1" customWidth="1"/>
    <col min="10" max="10" width="9.140625" style="4"/>
    <col min="11" max="11" width="106.85546875" style="4" hidden="1" customWidth="1"/>
    <col min="12" max="12" width="93.85546875" style="4" hidden="1" customWidth="1"/>
    <col min="13" max="15" width="9.140625" style="4"/>
    <col min="16" max="17" width="19.42578125" style="9" bestFit="1" customWidth="1"/>
    <col min="18" max="18" width="19" style="4" bestFit="1" customWidth="1"/>
    <col min="19" max="20" width="9.140625" style="4"/>
    <col min="21" max="21" width="12.140625" style="4" bestFit="1" customWidth="1"/>
    <col min="22" max="16384" width="9.140625" style="4"/>
  </cols>
  <sheetData>
    <row r="1" spans="1:21" s="1" customFormat="1" ht="39.950000000000003" customHeight="1" x14ac:dyDescent="0.25">
      <c r="B1" s="2" t="s">
        <v>0</v>
      </c>
      <c r="C1" s="2" t="s">
        <v>1</v>
      </c>
      <c r="D1" s="2" t="s">
        <v>2</v>
      </c>
      <c r="E1" s="2" t="s">
        <v>3</v>
      </c>
      <c r="F1" s="2" t="s">
        <v>4</v>
      </c>
      <c r="G1" s="2" t="s">
        <v>5</v>
      </c>
      <c r="H1" s="2" t="s">
        <v>6</v>
      </c>
      <c r="I1" s="2" t="s">
        <v>7</v>
      </c>
      <c r="J1" s="3"/>
      <c r="P1" s="3" t="s">
        <v>8</v>
      </c>
      <c r="Q1" s="3">
        <v>26</v>
      </c>
      <c r="R1" s="1" t="s">
        <v>9</v>
      </c>
      <c r="S1" s="1">
        <v>5</v>
      </c>
    </row>
    <row r="2" spans="1:21" ht="30" customHeight="1" x14ac:dyDescent="0.25">
      <c r="A2" s="4">
        <v>1</v>
      </c>
      <c r="B2" s="5" t="s">
        <v>10</v>
      </c>
      <c r="C2" s="5" t="s">
        <v>8</v>
      </c>
      <c r="D2" s="5" t="s">
        <v>11</v>
      </c>
      <c r="E2" s="5" t="s">
        <v>12</v>
      </c>
      <c r="F2" s="6">
        <v>13</v>
      </c>
      <c r="G2" s="7">
        <v>46148</v>
      </c>
      <c r="H2" s="7">
        <f>P2</f>
        <v>46179</v>
      </c>
      <c r="I2" s="7">
        <f t="shared" ref="I2:I48" si="0">H2+F2</f>
        <v>46192</v>
      </c>
      <c r="J2" s="4" t="s">
        <v>13</v>
      </c>
      <c r="K2" s="4" t="str">
        <f>CONCATENATE(D2,J2,E2)</f>
        <v>PRECLEAN MACHINE FOR PHOTO-INSTALLATION</v>
      </c>
      <c r="L2" s="4" t="str">
        <f>CONCATENATE(C2,J2,D2)</f>
        <v>UCE-PRECLEAN MACHINE FOR PHOTO</v>
      </c>
      <c r="P2" s="8">
        <f>G2+$Q$1+5</f>
        <v>46179</v>
      </c>
      <c r="T2" s="4">
        <f>I5-H2</f>
        <v>57</v>
      </c>
      <c r="U2" s="10"/>
    </row>
    <row r="3" spans="1:21" ht="30" customHeight="1" x14ac:dyDescent="0.25">
      <c r="A3" s="4">
        <v>2</v>
      </c>
      <c r="B3" s="5" t="s">
        <v>10</v>
      </c>
      <c r="C3" s="5" t="s">
        <v>8</v>
      </c>
      <c r="D3" s="5" t="s">
        <v>11</v>
      </c>
      <c r="E3" s="5" t="s">
        <v>14</v>
      </c>
      <c r="F3" s="6">
        <v>3</v>
      </c>
      <c r="G3" s="7">
        <f>I2</f>
        <v>46192</v>
      </c>
      <c r="H3" s="7">
        <f>I2+35</f>
        <v>46227</v>
      </c>
      <c r="I3" s="7">
        <f t="shared" si="0"/>
        <v>46230</v>
      </c>
      <c r="J3" s="4" t="s">
        <v>13</v>
      </c>
      <c r="K3" s="4" t="str">
        <f t="shared" ref="K3:K127" si="1">CONCATENATE(D3,J3,E3)</f>
        <v>PRECLEAN MACHINE FOR PHOTO-LEACHING</v>
      </c>
      <c r="L3" s="4" t="str">
        <f t="shared" ref="L3:L127" si="2">CONCATENATE(C3,J3,D3)</f>
        <v>UCE-PRECLEAN MACHINE FOR PHOTO</v>
      </c>
    </row>
    <row r="4" spans="1:21" ht="30" customHeight="1" x14ac:dyDescent="0.25">
      <c r="A4" s="4">
        <v>3</v>
      </c>
      <c r="B4" s="5" t="s">
        <v>10</v>
      </c>
      <c r="C4" s="5" t="s">
        <v>8</v>
      </c>
      <c r="D4" s="5" t="s">
        <v>11</v>
      </c>
      <c r="E4" s="5" t="s">
        <v>15</v>
      </c>
      <c r="F4" s="6">
        <v>3</v>
      </c>
      <c r="G4" s="7">
        <f>I3</f>
        <v>46230</v>
      </c>
      <c r="H4" s="7">
        <f>I3</f>
        <v>46230</v>
      </c>
      <c r="I4" s="7">
        <f t="shared" si="0"/>
        <v>46233</v>
      </c>
      <c r="J4" s="4" t="s">
        <v>13</v>
      </c>
      <c r="K4" s="4" t="str">
        <f t="shared" si="1"/>
        <v>PRECLEAN MACHINE FOR PHOTO-CHEMICAL TRIALS</v>
      </c>
      <c r="L4" s="4" t="str">
        <f t="shared" si="2"/>
        <v>UCE-PRECLEAN MACHINE FOR PHOTO</v>
      </c>
    </row>
    <row r="5" spans="1:21" ht="30" customHeight="1" x14ac:dyDescent="0.25">
      <c r="A5" s="4">
        <v>4</v>
      </c>
      <c r="B5" s="5" t="s">
        <v>10</v>
      </c>
      <c r="C5" s="5" t="s">
        <v>8</v>
      </c>
      <c r="D5" s="5" t="s">
        <v>11</v>
      </c>
      <c r="E5" s="5" t="s">
        <v>16</v>
      </c>
      <c r="F5" s="6">
        <v>3</v>
      </c>
      <c r="G5" s="7">
        <f>I4</f>
        <v>46233</v>
      </c>
      <c r="H5" s="7">
        <f>I4</f>
        <v>46233</v>
      </c>
      <c r="I5" s="7">
        <f t="shared" si="0"/>
        <v>46236</v>
      </c>
      <c r="J5" s="4" t="s">
        <v>13</v>
      </c>
      <c r="K5" s="4" t="str">
        <f t="shared" si="1"/>
        <v>PRECLEAN MACHINE FOR PHOTO-TRAINING</v>
      </c>
      <c r="L5" s="4" t="str">
        <f t="shared" si="2"/>
        <v>UCE-PRECLEAN MACHINE FOR PHOTO</v>
      </c>
      <c r="U5" s="10"/>
    </row>
    <row r="6" spans="1:21" ht="30" customHeight="1" x14ac:dyDescent="0.25">
      <c r="A6" s="4">
        <v>5</v>
      </c>
      <c r="B6" s="5" t="s">
        <v>10</v>
      </c>
      <c r="C6" s="5" t="s">
        <v>8</v>
      </c>
      <c r="D6" s="5" t="s">
        <v>17</v>
      </c>
      <c r="E6" s="5" t="s">
        <v>12</v>
      </c>
      <c r="F6" s="6">
        <v>15</v>
      </c>
      <c r="G6" s="7">
        <v>46145</v>
      </c>
      <c r="H6" s="7">
        <f>P6</f>
        <v>46174</v>
      </c>
      <c r="I6" s="7">
        <f t="shared" si="0"/>
        <v>46189</v>
      </c>
      <c r="J6" s="4" t="s">
        <v>13</v>
      </c>
      <c r="K6" s="4" t="str">
        <f t="shared" si="1"/>
        <v>DES-INSTALLATION</v>
      </c>
      <c r="L6" s="4" t="str">
        <f t="shared" si="2"/>
        <v>UCE-DES</v>
      </c>
      <c r="P6" s="8">
        <f>G6+$Q$1+3</f>
        <v>46174</v>
      </c>
      <c r="T6" s="4">
        <f>I9-H6</f>
        <v>66</v>
      </c>
      <c r="U6" s="10"/>
    </row>
    <row r="7" spans="1:21" ht="30" customHeight="1" x14ac:dyDescent="0.25">
      <c r="A7" s="4">
        <v>6</v>
      </c>
      <c r="B7" s="5" t="s">
        <v>10</v>
      </c>
      <c r="C7" s="5" t="s">
        <v>8</v>
      </c>
      <c r="D7" s="5" t="s">
        <v>17</v>
      </c>
      <c r="E7" s="5" t="s">
        <v>14</v>
      </c>
      <c r="F7" s="6">
        <v>5</v>
      </c>
      <c r="G7" s="7">
        <f>I6</f>
        <v>46189</v>
      </c>
      <c r="H7" s="7">
        <v>46228</v>
      </c>
      <c r="I7" s="7">
        <f t="shared" si="0"/>
        <v>46233</v>
      </c>
      <c r="J7" s="4" t="s">
        <v>13</v>
      </c>
      <c r="K7" s="4" t="str">
        <f t="shared" si="1"/>
        <v>DES-LEACHING</v>
      </c>
      <c r="L7" s="4" t="str">
        <f t="shared" si="2"/>
        <v>UCE-DES</v>
      </c>
    </row>
    <row r="8" spans="1:21" ht="30" customHeight="1" x14ac:dyDescent="0.25">
      <c r="A8" s="4">
        <v>7</v>
      </c>
      <c r="B8" s="5" t="s">
        <v>10</v>
      </c>
      <c r="C8" s="5" t="s">
        <v>8</v>
      </c>
      <c r="D8" s="5" t="s">
        <v>17</v>
      </c>
      <c r="E8" s="5" t="s">
        <v>15</v>
      </c>
      <c r="F8" s="6">
        <v>4</v>
      </c>
      <c r="G8" s="7">
        <f>I7</f>
        <v>46233</v>
      </c>
      <c r="H8" s="7">
        <f>I7</f>
        <v>46233</v>
      </c>
      <c r="I8" s="7">
        <f t="shared" si="0"/>
        <v>46237</v>
      </c>
      <c r="J8" s="4" t="s">
        <v>13</v>
      </c>
      <c r="K8" s="4" t="str">
        <f t="shared" si="1"/>
        <v>DES-CHEMICAL TRIALS</v>
      </c>
      <c r="L8" s="4" t="str">
        <f t="shared" si="2"/>
        <v>UCE-DES</v>
      </c>
    </row>
    <row r="9" spans="1:21" ht="30" customHeight="1" x14ac:dyDescent="0.25">
      <c r="A9" s="4">
        <v>8</v>
      </c>
      <c r="B9" s="5" t="s">
        <v>10</v>
      </c>
      <c r="C9" s="5" t="s">
        <v>8</v>
      </c>
      <c r="D9" s="5" t="s">
        <v>17</v>
      </c>
      <c r="E9" s="5" t="s">
        <v>16</v>
      </c>
      <c r="F9" s="6">
        <v>3</v>
      </c>
      <c r="G9" s="7">
        <f>I8</f>
        <v>46237</v>
      </c>
      <c r="H9" s="7">
        <f>I8</f>
        <v>46237</v>
      </c>
      <c r="I9" s="7">
        <f t="shared" si="0"/>
        <v>46240</v>
      </c>
      <c r="J9" s="4" t="s">
        <v>13</v>
      </c>
      <c r="K9" s="4" t="str">
        <f t="shared" si="1"/>
        <v>DES-TRAINING</v>
      </c>
      <c r="L9" s="4" t="str">
        <f t="shared" si="2"/>
        <v>UCE-DES</v>
      </c>
      <c r="U9" s="10"/>
    </row>
    <row r="10" spans="1:21" ht="30" customHeight="1" x14ac:dyDescent="0.25">
      <c r="A10" s="4">
        <v>9</v>
      </c>
      <c r="B10" s="5" t="s">
        <v>18</v>
      </c>
      <c r="C10" s="5" t="s">
        <v>8</v>
      </c>
      <c r="D10" s="5" t="s">
        <v>19</v>
      </c>
      <c r="E10" s="5" t="s">
        <v>12</v>
      </c>
      <c r="F10" s="6">
        <v>12</v>
      </c>
      <c r="G10" s="7">
        <v>46160</v>
      </c>
      <c r="H10" s="7">
        <f>P10</f>
        <v>46174</v>
      </c>
      <c r="I10" s="7">
        <f t="shared" si="0"/>
        <v>46186</v>
      </c>
      <c r="J10" s="4" t="s">
        <v>13</v>
      </c>
      <c r="K10" s="4" t="str">
        <f t="shared" si="1"/>
        <v>PRE CLEAN MACHINE SM-INSTALLATION</v>
      </c>
      <c r="L10" s="4" t="str">
        <f t="shared" si="2"/>
        <v>UCE-PRE CLEAN MACHINE SM</v>
      </c>
      <c r="P10" s="8">
        <f>G10+$Q$1-12</f>
        <v>46174</v>
      </c>
      <c r="T10" s="4">
        <f>I13-H10</f>
        <v>65</v>
      </c>
      <c r="U10" s="10"/>
    </row>
    <row r="11" spans="1:21" ht="30" customHeight="1" x14ac:dyDescent="0.25">
      <c r="A11" s="4">
        <v>10</v>
      </c>
      <c r="B11" s="5" t="s">
        <v>18</v>
      </c>
      <c r="C11" s="5" t="s">
        <v>8</v>
      </c>
      <c r="D11" s="5" t="s">
        <v>19</v>
      </c>
      <c r="E11" s="5" t="s">
        <v>14</v>
      </c>
      <c r="F11" s="6">
        <v>3</v>
      </c>
      <c r="G11" s="7">
        <f>I10</f>
        <v>46186</v>
      </c>
      <c r="H11" s="7">
        <f>I10+44</f>
        <v>46230</v>
      </c>
      <c r="I11" s="7">
        <f t="shared" si="0"/>
        <v>46233</v>
      </c>
      <c r="J11" s="4" t="s">
        <v>13</v>
      </c>
      <c r="K11" s="4" t="str">
        <f t="shared" si="1"/>
        <v>PRE CLEAN MACHINE SM-LEACHING</v>
      </c>
      <c r="L11" s="4" t="str">
        <f t="shared" si="2"/>
        <v>UCE-PRE CLEAN MACHINE SM</v>
      </c>
    </row>
    <row r="12" spans="1:21" ht="30" customHeight="1" x14ac:dyDescent="0.25">
      <c r="A12" s="4">
        <v>11</v>
      </c>
      <c r="B12" s="5" t="s">
        <v>18</v>
      </c>
      <c r="C12" s="5" t="s">
        <v>8</v>
      </c>
      <c r="D12" s="5" t="s">
        <v>19</v>
      </c>
      <c r="E12" s="5" t="s">
        <v>15</v>
      </c>
      <c r="F12" s="6">
        <v>3</v>
      </c>
      <c r="G12" s="7">
        <f>I11</f>
        <v>46233</v>
      </c>
      <c r="H12" s="7">
        <f>I11</f>
        <v>46233</v>
      </c>
      <c r="I12" s="7">
        <f t="shared" si="0"/>
        <v>46236</v>
      </c>
      <c r="J12" s="4" t="s">
        <v>13</v>
      </c>
      <c r="K12" s="4" t="str">
        <f t="shared" si="1"/>
        <v>PRE CLEAN MACHINE SM-CHEMICAL TRIALS</v>
      </c>
      <c r="L12" s="4" t="str">
        <f t="shared" si="2"/>
        <v>UCE-PRE CLEAN MACHINE SM</v>
      </c>
    </row>
    <row r="13" spans="1:21" ht="30" customHeight="1" x14ac:dyDescent="0.25">
      <c r="A13" s="4">
        <v>12</v>
      </c>
      <c r="B13" s="5" t="s">
        <v>18</v>
      </c>
      <c r="C13" s="5" t="s">
        <v>8</v>
      </c>
      <c r="D13" s="5" t="s">
        <v>19</v>
      </c>
      <c r="E13" s="5" t="s">
        <v>16</v>
      </c>
      <c r="F13" s="6">
        <v>3</v>
      </c>
      <c r="G13" s="7">
        <f>I12</f>
        <v>46236</v>
      </c>
      <c r="H13" s="7">
        <f>I12</f>
        <v>46236</v>
      </c>
      <c r="I13" s="7">
        <f t="shared" si="0"/>
        <v>46239</v>
      </c>
      <c r="J13" s="4" t="s">
        <v>13</v>
      </c>
      <c r="K13" s="4" t="str">
        <f t="shared" si="1"/>
        <v>PRE CLEAN MACHINE SM-TRAINING</v>
      </c>
      <c r="L13" s="4" t="str">
        <f t="shared" si="2"/>
        <v>UCE-PRE CLEAN MACHINE SM</v>
      </c>
      <c r="U13" s="10"/>
    </row>
    <row r="14" spans="1:21" ht="30" customHeight="1" x14ac:dyDescent="0.25">
      <c r="A14" s="4">
        <v>13</v>
      </c>
      <c r="B14" s="5" t="s">
        <v>18</v>
      </c>
      <c r="C14" s="5" t="s">
        <v>8</v>
      </c>
      <c r="D14" s="5" t="s">
        <v>20</v>
      </c>
      <c r="E14" s="5" t="s">
        <v>12</v>
      </c>
      <c r="F14" s="6">
        <v>9</v>
      </c>
      <c r="G14" s="7">
        <v>46146</v>
      </c>
      <c r="H14" s="7">
        <f>P14</f>
        <v>46184</v>
      </c>
      <c r="I14" s="7">
        <f t="shared" si="0"/>
        <v>46193</v>
      </c>
      <c r="J14" s="4" t="s">
        <v>13</v>
      </c>
      <c r="K14" s="4" t="str">
        <f t="shared" si="1"/>
        <v xml:space="preserve"> SM DEVELOPING -INSTALLATION</v>
      </c>
      <c r="L14" s="4" t="str">
        <f t="shared" si="2"/>
        <v xml:space="preserve">UCE- SM DEVELOPING </v>
      </c>
      <c r="P14" s="8">
        <f>G14+$Q$1+12</f>
        <v>46184</v>
      </c>
      <c r="T14" s="4">
        <f>I17-H14</f>
        <v>58</v>
      </c>
      <c r="U14" s="10"/>
    </row>
    <row r="15" spans="1:21" ht="30" customHeight="1" x14ac:dyDescent="0.25">
      <c r="A15" s="4">
        <v>14</v>
      </c>
      <c r="B15" s="5" t="s">
        <v>18</v>
      </c>
      <c r="C15" s="5" t="s">
        <v>8</v>
      </c>
      <c r="D15" s="5" t="s">
        <v>20</v>
      </c>
      <c r="E15" s="5" t="s">
        <v>14</v>
      </c>
      <c r="F15" s="6">
        <v>3</v>
      </c>
      <c r="G15" s="7">
        <f>I14</f>
        <v>46193</v>
      </c>
      <c r="H15" s="7">
        <f>I14+40</f>
        <v>46233</v>
      </c>
      <c r="I15" s="7">
        <f t="shared" si="0"/>
        <v>46236</v>
      </c>
      <c r="J15" s="4" t="s">
        <v>13</v>
      </c>
      <c r="K15" s="4" t="str">
        <f t="shared" si="1"/>
        <v xml:space="preserve"> SM DEVELOPING -LEACHING</v>
      </c>
      <c r="L15" s="4" t="str">
        <f t="shared" si="2"/>
        <v xml:space="preserve">UCE- SM DEVELOPING </v>
      </c>
    </row>
    <row r="16" spans="1:21" ht="30" customHeight="1" x14ac:dyDescent="0.25">
      <c r="A16" s="4">
        <v>15</v>
      </c>
      <c r="B16" s="5" t="s">
        <v>18</v>
      </c>
      <c r="C16" s="5" t="s">
        <v>8</v>
      </c>
      <c r="D16" s="5" t="s">
        <v>20</v>
      </c>
      <c r="E16" s="5" t="s">
        <v>15</v>
      </c>
      <c r="F16" s="6">
        <v>3</v>
      </c>
      <c r="G16" s="7">
        <f>I15</f>
        <v>46236</v>
      </c>
      <c r="H16" s="7">
        <f>I15</f>
        <v>46236</v>
      </c>
      <c r="I16" s="7">
        <f t="shared" si="0"/>
        <v>46239</v>
      </c>
      <c r="J16" s="4" t="s">
        <v>13</v>
      </c>
      <c r="K16" s="4" t="str">
        <f t="shared" si="1"/>
        <v xml:space="preserve"> SM DEVELOPING -CHEMICAL TRIALS</v>
      </c>
      <c r="L16" s="4" t="str">
        <f t="shared" si="2"/>
        <v xml:space="preserve">UCE- SM DEVELOPING </v>
      </c>
    </row>
    <row r="17" spans="1:21" ht="30" customHeight="1" x14ac:dyDescent="0.25">
      <c r="A17" s="4">
        <v>16</v>
      </c>
      <c r="B17" s="5" t="s">
        <v>18</v>
      </c>
      <c r="C17" s="5" t="s">
        <v>8</v>
      </c>
      <c r="D17" s="5" t="s">
        <v>20</v>
      </c>
      <c r="E17" s="5" t="s">
        <v>16</v>
      </c>
      <c r="F17" s="6">
        <v>3</v>
      </c>
      <c r="G17" s="7">
        <f>I16</f>
        <v>46239</v>
      </c>
      <c r="H17" s="7">
        <f>I16</f>
        <v>46239</v>
      </c>
      <c r="I17" s="7">
        <f t="shared" si="0"/>
        <v>46242</v>
      </c>
      <c r="J17" s="4" t="s">
        <v>13</v>
      </c>
      <c r="K17" s="4" t="str">
        <f t="shared" si="1"/>
        <v xml:space="preserve"> SM DEVELOPING -TRAINING</v>
      </c>
      <c r="L17" s="4" t="str">
        <f t="shared" si="2"/>
        <v xml:space="preserve">UCE- SM DEVELOPING </v>
      </c>
      <c r="U17" s="10"/>
    </row>
    <row r="18" spans="1:21" ht="30" customHeight="1" x14ac:dyDescent="0.25">
      <c r="A18" s="4">
        <v>17</v>
      </c>
      <c r="B18" s="5" t="s">
        <v>21</v>
      </c>
      <c r="C18" s="5" t="s">
        <v>8</v>
      </c>
      <c r="D18" s="5" t="s">
        <v>22</v>
      </c>
      <c r="E18" s="5" t="s">
        <v>12</v>
      </c>
      <c r="F18" s="11">
        <v>12</v>
      </c>
      <c r="G18" s="7">
        <v>46156</v>
      </c>
      <c r="H18" s="7">
        <f>P18</f>
        <v>46174</v>
      </c>
      <c r="I18" s="7">
        <f t="shared" si="0"/>
        <v>46186</v>
      </c>
      <c r="J18" s="4" t="s">
        <v>13</v>
      </c>
      <c r="K18" s="4" t="str">
        <f t="shared" si="1"/>
        <v>BOND FILM-INSTALLATION</v>
      </c>
      <c r="L18" s="4" t="str">
        <f t="shared" si="2"/>
        <v>UCE-BOND FILM</v>
      </c>
      <c r="P18" s="8">
        <f>G18+$Q$1-8</f>
        <v>46174</v>
      </c>
      <c r="T18" s="4">
        <f>I21-H18</f>
        <v>68</v>
      </c>
      <c r="U18" s="10"/>
    </row>
    <row r="19" spans="1:21" ht="30" customHeight="1" x14ac:dyDescent="0.25">
      <c r="A19" s="4">
        <v>18</v>
      </c>
      <c r="B19" s="5" t="s">
        <v>21</v>
      </c>
      <c r="C19" s="5" t="s">
        <v>8</v>
      </c>
      <c r="D19" s="5" t="s">
        <v>22</v>
      </c>
      <c r="E19" s="5" t="s">
        <v>14</v>
      </c>
      <c r="F19" s="11">
        <v>3</v>
      </c>
      <c r="G19" s="7">
        <f>I18</f>
        <v>46186</v>
      </c>
      <c r="H19" s="7">
        <f>I18+47</f>
        <v>46233</v>
      </c>
      <c r="I19" s="7">
        <f t="shared" si="0"/>
        <v>46236</v>
      </c>
      <c r="J19" s="4" t="s">
        <v>13</v>
      </c>
      <c r="K19" s="4" t="str">
        <f t="shared" si="1"/>
        <v>BOND FILM-LEACHING</v>
      </c>
      <c r="L19" s="4" t="str">
        <f t="shared" si="2"/>
        <v>UCE-BOND FILM</v>
      </c>
    </row>
    <row r="20" spans="1:21" ht="30" customHeight="1" x14ac:dyDescent="0.25">
      <c r="A20" s="4">
        <v>19</v>
      </c>
      <c r="B20" s="5" t="s">
        <v>21</v>
      </c>
      <c r="C20" s="5" t="s">
        <v>8</v>
      </c>
      <c r="D20" s="5" t="s">
        <v>22</v>
      </c>
      <c r="E20" s="5" t="s">
        <v>15</v>
      </c>
      <c r="F20" s="11">
        <v>3</v>
      </c>
      <c r="G20" s="7">
        <f>I19</f>
        <v>46236</v>
      </c>
      <c r="H20" s="7">
        <f>I19</f>
        <v>46236</v>
      </c>
      <c r="I20" s="7">
        <f t="shared" si="0"/>
        <v>46239</v>
      </c>
      <c r="J20" s="4" t="s">
        <v>13</v>
      </c>
      <c r="K20" s="4" t="str">
        <f t="shared" si="1"/>
        <v>BOND FILM-CHEMICAL TRIALS</v>
      </c>
      <c r="L20" s="4" t="str">
        <f t="shared" si="2"/>
        <v>UCE-BOND FILM</v>
      </c>
    </row>
    <row r="21" spans="1:21" ht="30" customHeight="1" x14ac:dyDescent="0.25">
      <c r="A21" s="4">
        <v>20</v>
      </c>
      <c r="B21" s="5" t="s">
        <v>21</v>
      </c>
      <c r="C21" s="5" t="s">
        <v>8</v>
      </c>
      <c r="D21" s="5" t="s">
        <v>22</v>
      </c>
      <c r="E21" s="5" t="s">
        <v>16</v>
      </c>
      <c r="F21" s="6">
        <v>3</v>
      </c>
      <c r="G21" s="7">
        <f>I20</f>
        <v>46239</v>
      </c>
      <c r="H21" s="7">
        <f>I20</f>
        <v>46239</v>
      </c>
      <c r="I21" s="7">
        <f t="shared" si="0"/>
        <v>46242</v>
      </c>
      <c r="J21" s="4" t="s">
        <v>13</v>
      </c>
      <c r="K21" s="4" t="str">
        <f t="shared" si="1"/>
        <v>BOND FILM-TRAINING</v>
      </c>
      <c r="L21" s="4" t="str">
        <f t="shared" si="2"/>
        <v>UCE-BOND FILM</v>
      </c>
      <c r="U21" s="10"/>
    </row>
    <row r="22" spans="1:21" ht="30" customHeight="1" x14ac:dyDescent="0.25">
      <c r="A22" s="4">
        <v>21</v>
      </c>
      <c r="B22" s="5" t="s">
        <v>23</v>
      </c>
      <c r="C22" s="5" t="s">
        <v>8</v>
      </c>
      <c r="D22" s="5" t="s">
        <v>24</v>
      </c>
      <c r="E22" s="5" t="s">
        <v>12</v>
      </c>
      <c r="F22" s="11">
        <v>10</v>
      </c>
      <c r="G22" s="7">
        <v>46158</v>
      </c>
      <c r="H22" s="7">
        <f>P22</f>
        <v>46188</v>
      </c>
      <c r="I22" s="7">
        <f t="shared" si="0"/>
        <v>46198</v>
      </c>
      <c r="J22" s="4" t="s">
        <v>13</v>
      </c>
      <c r="K22" s="4" t="str">
        <f t="shared" si="1"/>
        <v>DEBURRING LINE WITH ULTRASONIC CLEANING AND LOADER / UNLODER-INSTALLATION</v>
      </c>
      <c r="L22" s="4" t="str">
        <f t="shared" si="2"/>
        <v>UCE-DEBURRING LINE WITH ULTRASONIC CLEANING AND LOADER / UNLODER</v>
      </c>
      <c r="P22" s="8">
        <f>G22+$Q$1+4</f>
        <v>46188</v>
      </c>
      <c r="T22" s="4">
        <f>I24-H22</f>
        <v>52</v>
      </c>
      <c r="U22" s="10"/>
    </row>
    <row r="23" spans="1:21" ht="30" customHeight="1" x14ac:dyDescent="0.25">
      <c r="A23" s="4">
        <v>22</v>
      </c>
      <c r="B23" s="5" t="s">
        <v>23</v>
      </c>
      <c r="C23" s="5" t="s">
        <v>8</v>
      </c>
      <c r="D23" s="5" t="s">
        <v>24</v>
      </c>
      <c r="E23" s="5" t="s">
        <v>14</v>
      </c>
      <c r="F23" s="11">
        <v>3</v>
      </c>
      <c r="G23" s="7">
        <f>I22</f>
        <v>46198</v>
      </c>
      <c r="H23" s="7">
        <f>I22+36</f>
        <v>46234</v>
      </c>
      <c r="I23" s="7">
        <f t="shared" si="0"/>
        <v>46237</v>
      </c>
      <c r="J23" s="4" t="s">
        <v>13</v>
      </c>
      <c r="K23" s="4" t="str">
        <f t="shared" si="1"/>
        <v>DEBURRING LINE WITH ULTRASONIC CLEANING AND LOADER / UNLODER-LEACHING</v>
      </c>
      <c r="L23" s="4" t="str">
        <f t="shared" si="2"/>
        <v>UCE-DEBURRING LINE WITH ULTRASONIC CLEANING AND LOADER / UNLODER</v>
      </c>
    </row>
    <row r="24" spans="1:21" ht="30" customHeight="1" x14ac:dyDescent="0.25">
      <c r="A24" s="4">
        <v>23</v>
      </c>
      <c r="B24" s="5" t="s">
        <v>23</v>
      </c>
      <c r="C24" s="5" t="s">
        <v>8</v>
      </c>
      <c r="D24" s="5" t="s">
        <v>24</v>
      </c>
      <c r="E24" s="5" t="s">
        <v>16</v>
      </c>
      <c r="F24" s="6">
        <v>3</v>
      </c>
      <c r="G24" s="7">
        <f>I23</f>
        <v>46237</v>
      </c>
      <c r="H24" s="7">
        <f>I23</f>
        <v>46237</v>
      </c>
      <c r="I24" s="7">
        <f t="shared" si="0"/>
        <v>46240</v>
      </c>
      <c r="J24" s="4" t="s">
        <v>13</v>
      </c>
      <c r="K24" s="4" t="str">
        <f t="shared" si="1"/>
        <v>DEBURRING LINE WITH ULTRASONIC CLEANING AND LOADER / UNLODER-TRAINING</v>
      </c>
      <c r="L24" s="4" t="str">
        <f t="shared" si="2"/>
        <v>UCE-DEBURRING LINE WITH ULTRASONIC CLEANING AND LOADER / UNLODER</v>
      </c>
      <c r="U24" s="10"/>
    </row>
    <row r="25" spans="1:21" ht="30" customHeight="1" x14ac:dyDescent="0.25">
      <c r="A25" s="4">
        <v>24</v>
      </c>
      <c r="B25" s="5" t="s">
        <v>23</v>
      </c>
      <c r="C25" s="5" t="s">
        <v>8</v>
      </c>
      <c r="D25" s="5" t="s">
        <v>25</v>
      </c>
      <c r="E25" s="5" t="s">
        <v>12</v>
      </c>
      <c r="F25" s="11">
        <v>14</v>
      </c>
      <c r="G25" s="7"/>
      <c r="H25" s="7">
        <v>46216</v>
      </c>
      <c r="I25" s="7">
        <v>46230</v>
      </c>
      <c r="J25" s="4" t="s">
        <v>13</v>
      </c>
      <c r="K25" s="4" t="str">
        <f t="shared" si="1"/>
        <v>HOIST TYPE DESMEAR + PTH LINE-INSTALLATION</v>
      </c>
      <c r="L25" s="4" t="str">
        <f t="shared" si="2"/>
        <v>UCE-HOIST TYPE DESMEAR + PTH LINE</v>
      </c>
      <c r="P25" s="8">
        <f>G25+$Q$1</f>
        <v>26</v>
      </c>
      <c r="T25" s="4">
        <f>I28-H25</f>
        <v>25</v>
      </c>
      <c r="U25" s="10"/>
    </row>
    <row r="26" spans="1:21" ht="30" customHeight="1" x14ac:dyDescent="0.25">
      <c r="A26" s="4">
        <v>25</v>
      </c>
      <c r="B26" s="5" t="s">
        <v>23</v>
      </c>
      <c r="C26" s="5" t="s">
        <v>8</v>
      </c>
      <c r="D26" s="5" t="s">
        <v>25</v>
      </c>
      <c r="E26" s="5" t="s">
        <v>14</v>
      </c>
      <c r="F26" s="11">
        <v>3</v>
      </c>
      <c r="G26" s="7"/>
      <c r="H26" s="7">
        <v>46231</v>
      </c>
      <c r="I26" s="7">
        <v>46234</v>
      </c>
      <c r="J26" s="4" t="s">
        <v>13</v>
      </c>
      <c r="K26" s="4" t="str">
        <f t="shared" si="1"/>
        <v>HOIST TYPE DESMEAR + PTH LINE-LEACHING</v>
      </c>
      <c r="L26" s="4" t="str">
        <f t="shared" si="2"/>
        <v>UCE-HOIST TYPE DESMEAR + PTH LINE</v>
      </c>
    </row>
    <row r="27" spans="1:21" ht="30" customHeight="1" x14ac:dyDescent="0.25">
      <c r="A27" s="4">
        <v>26</v>
      </c>
      <c r="B27" s="5" t="s">
        <v>23</v>
      </c>
      <c r="C27" s="5" t="s">
        <v>8</v>
      </c>
      <c r="D27" s="5" t="s">
        <v>25</v>
      </c>
      <c r="E27" s="5" t="s">
        <v>15</v>
      </c>
      <c r="F27" s="11">
        <v>3</v>
      </c>
      <c r="G27" s="7"/>
      <c r="H27" s="7">
        <v>46235</v>
      </c>
      <c r="I27" s="7">
        <v>46238</v>
      </c>
      <c r="J27" s="4" t="s">
        <v>13</v>
      </c>
      <c r="K27" s="4" t="str">
        <f t="shared" si="1"/>
        <v>HOIST TYPE DESMEAR + PTH LINE-CHEMICAL TRIALS</v>
      </c>
      <c r="L27" s="4" t="str">
        <f t="shared" si="2"/>
        <v>UCE-HOIST TYPE DESMEAR + PTH LINE</v>
      </c>
    </row>
    <row r="28" spans="1:21" ht="30" customHeight="1" x14ac:dyDescent="0.25">
      <c r="A28" s="4">
        <v>27</v>
      </c>
      <c r="B28" s="5" t="s">
        <v>23</v>
      </c>
      <c r="C28" s="5" t="s">
        <v>8</v>
      </c>
      <c r="D28" s="5" t="s">
        <v>25</v>
      </c>
      <c r="E28" s="5" t="s">
        <v>16</v>
      </c>
      <c r="F28" s="6">
        <v>2</v>
      </c>
      <c r="G28" s="7"/>
      <c r="H28" s="7">
        <v>46239</v>
      </c>
      <c r="I28" s="7">
        <v>46241</v>
      </c>
      <c r="J28" s="4" t="s">
        <v>13</v>
      </c>
      <c r="K28" s="4" t="str">
        <f t="shared" si="1"/>
        <v>HOIST TYPE DESMEAR + PTH LINE-TRAINING</v>
      </c>
      <c r="L28" s="4" t="str">
        <f t="shared" si="2"/>
        <v>UCE-HOIST TYPE DESMEAR + PTH LINE</v>
      </c>
      <c r="U28" s="10"/>
    </row>
    <row r="29" spans="1:21" ht="30" customHeight="1" x14ac:dyDescent="0.25">
      <c r="A29" s="4">
        <v>28</v>
      </c>
      <c r="B29" s="5" t="s">
        <v>23</v>
      </c>
      <c r="C29" s="5" t="s">
        <v>8</v>
      </c>
      <c r="D29" s="5" t="s">
        <v>26</v>
      </c>
      <c r="E29" s="5" t="s">
        <v>12</v>
      </c>
      <c r="F29" s="11">
        <v>15</v>
      </c>
      <c r="G29" s="7">
        <v>46164</v>
      </c>
      <c r="H29" s="7">
        <f>P29</f>
        <v>46174</v>
      </c>
      <c r="I29" s="7">
        <f t="shared" si="0"/>
        <v>46189</v>
      </c>
      <c r="J29" s="4" t="s">
        <v>13</v>
      </c>
      <c r="K29" s="4" t="str">
        <f t="shared" si="1"/>
        <v>VIAKING LINE FOR DIRECT METALIZATION WITH LOADER &amp; UNLOADER-INSTALLATION</v>
      </c>
      <c r="L29" s="4" t="str">
        <f t="shared" si="2"/>
        <v>UCE-VIAKING LINE FOR DIRECT METALIZATION WITH LOADER &amp; UNLOADER</v>
      </c>
      <c r="P29" s="8">
        <f>G29+$Q$1-16</f>
        <v>46174</v>
      </c>
      <c r="T29" s="4">
        <f>I32-H29</f>
        <v>72</v>
      </c>
      <c r="U29" s="10"/>
    </row>
    <row r="30" spans="1:21" ht="30" customHeight="1" x14ac:dyDescent="0.25">
      <c r="A30" s="4">
        <v>29</v>
      </c>
      <c r="B30" s="5" t="s">
        <v>23</v>
      </c>
      <c r="C30" s="5" t="s">
        <v>8</v>
      </c>
      <c r="D30" s="5" t="s">
        <v>26</v>
      </c>
      <c r="E30" s="5" t="s">
        <v>14</v>
      </c>
      <c r="F30" s="11">
        <v>4</v>
      </c>
      <c r="G30" s="7">
        <f>I29</f>
        <v>46189</v>
      </c>
      <c r="H30" s="7">
        <f>I29+46</f>
        <v>46235</v>
      </c>
      <c r="I30" s="7">
        <f t="shared" si="0"/>
        <v>46239</v>
      </c>
      <c r="J30" s="4" t="s">
        <v>13</v>
      </c>
      <c r="K30" s="4" t="str">
        <f t="shared" si="1"/>
        <v>VIAKING LINE FOR DIRECT METALIZATION WITH LOADER &amp; UNLOADER-LEACHING</v>
      </c>
      <c r="L30" s="4" t="str">
        <f t="shared" si="2"/>
        <v>UCE-VIAKING LINE FOR DIRECT METALIZATION WITH LOADER &amp; UNLOADER</v>
      </c>
    </row>
    <row r="31" spans="1:21" ht="30" customHeight="1" x14ac:dyDescent="0.25">
      <c r="A31" s="4">
        <v>30</v>
      </c>
      <c r="B31" s="5" t="s">
        <v>23</v>
      </c>
      <c r="C31" s="5" t="s">
        <v>8</v>
      </c>
      <c r="D31" s="5" t="s">
        <v>26</v>
      </c>
      <c r="E31" s="5" t="s">
        <v>15</v>
      </c>
      <c r="F31" s="11">
        <v>4</v>
      </c>
      <c r="G31" s="7">
        <f>I30</f>
        <v>46239</v>
      </c>
      <c r="H31" s="7">
        <f>I30</f>
        <v>46239</v>
      </c>
      <c r="I31" s="7">
        <f t="shared" si="0"/>
        <v>46243</v>
      </c>
      <c r="J31" s="4" t="s">
        <v>13</v>
      </c>
      <c r="K31" s="4" t="str">
        <f t="shared" si="1"/>
        <v>VIAKING LINE FOR DIRECT METALIZATION WITH LOADER &amp; UNLOADER-CHEMICAL TRIALS</v>
      </c>
      <c r="L31" s="4" t="str">
        <f t="shared" si="2"/>
        <v>UCE-VIAKING LINE FOR DIRECT METALIZATION WITH LOADER &amp; UNLOADER</v>
      </c>
    </row>
    <row r="32" spans="1:21" ht="30" customHeight="1" x14ac:dyDescent="0.25">
      <c r="A32" s="4">
        <v>31</v>
      </c>
      <c r="B32" s="5" t="s">
        <v>23</v>
      </c>
      <c r="C32" s="5" t="s">
        <v>8</v>
      </c>
      <c r="D32" s="5" t="s">
        <v>26</v>
      </c>
      <c r="E32" s="5" t="s">
        <v>16</v>
      </c>
      <c r="F32" s="6">
        <v>3</v>
      </c>
      <c r="G32" s="7">
        <f>I31</f>
        <v>46243</v>
      </c>
      <c r="H32" s="7">
        <f>I31</f>
        <v>46243</v>
      </c>
      <c r="I32" s="7">
        <f t="shared" si="0"/>
        <v>46246</v>
      </c>
      <c r="J32" s="4" t="s">
        <v>13</v>
      </c>
      <c r="K32" s="4" t="str">
        <f t="shared" si="1"/>
        <v>VIAKING LINE FOR DIRECT METALIZATION WITH LOADER &amp; UNLOADER-TRAINING</v>
      </c>
      <c r="L32" s="4" t="str">
        <f t="shared" si="2"/>
        <v>UCE-VIAKING LINE FOR DIRECT METALIZATION WITH LOADER &amp; UNLOADER</v>
      </c>
      <c r="U32" s="10"/>
    </row>
    <row r="33" spans="1:21" ht="30" customHeight="1" x14ac:dyDescent="0.25">
      <c r="A33" s="4">
        <v>32</v>
      </c>
      <c r="B33" s="5" t="s">
        <v>23</v>
      </c>
      <c r="C33" s="5" t="s">
        <v>8</v>
      </c>
      <c r="D33" s="5" t="s">
        <v>27</v>
      </c>
      <c r="E33" s="5" t="s">
        <v>12</v>
      </c>
      <c r="F33" s="11">
        <v>45</v>
      </c>
      <c r="G33" s="7">
        <v>46143</v>
      </c>
      <c r="H33" s="7">
        <f>P33+1</f>
        <v>46174</v>
      </c>
      <c r="I33" s="7">
        <f t="shared" si="0"/>
        <v>46219</v>
      </c>
      <c r="J33" s="4" t="s">
        <v>13</v>
      </c>
      <c r="K33" s="4" t="str">
        <f t="shared" si="1"/>
        <v>AUTOMATIC VCP PANEL PLATING LINE-INSTALLATION</v>
      </c>
      <c r="L33" s="4" t="str">
        <f t="shared" si="2"/>
        <v>UCE-AUTOMATIC VCP PANEL PLATING LINE</v>
      </c>
      <c r="P33" s="8">
        <f>G33+$Q$1+4</f>
        <v>46173</v>
      </c>
      <c r="T33" s="4">
        <f>I36-H33</f>
        <v>80</v>
      </c>
      <c r="U33" s="10"/>
    </row>
    <row r="34" spans="1:21" ht="30" customHeight="1" x14ac:dyDescent="0.25">
      <c r="A34" s="4">
        <v>33</v>
      </c>
      <c r="B34" s="5" t="s">
        <v>23</v>
      </c>
      <c r="C34" s="5" t="s">
        <v>8</v>
      </c>
      <c r="D34" s="5" t="s">
        <v>27</v>
      </c>
      <c r="E34" s="5" t="s">
        <v>14</v>
      </c>
      <c r="F34" s="11">
        <v>7</v>
      </c>
      <c r="G34" s="7">
        <f>I33</f>
        <v>46219</v>
      </c>
      <c r="H34" s="7">
        <f>I33+15</f>
        <v>46234</v>
      </c>
      <c r="I34" s="7">
        <f t="shared" si="0"/>
        <v>46241</v>
      </c>
      <c r="J34" s="4" t="s">
        <v>13</v>
      </c>
      <c r="K34" s="4" t="str">
        <f t="shared" si="1"/>
        <v>AUTOMATIC VCP PANEL PLATING LINE-LEACHING</v>
      </c>
      <c r="L34" s="4" t="str">
        <f t="shared" si="2"/>
        <v>UCE-AUTOMATIC VCP PANEL PLATING LINE</v>
      </c>
    </row>
    <row r="35" spans="1:21" ht="30" customHeight="1" x14ac:dyDescent="0.25">
      <c r="A35" s="4">
        <v>34</v>
      </c>
      <c r="B35" s="5" t="s">
        <v>23</v>
      </c>
      <c r="C35" s="5" t="s">
        <v>8</v>
      </c>
      <c r="D35" s="5" t="s">
        <v>27</v>
      </c>
      <c r="E35" s="5" t="s">
        <v>15</v>
      </c>
      <c r="F35" s="11">
        <v>10</v>
      </c>
      <c r="G35" s="7">
        <f>I34</f>
        <v>46241</v>
      </c>
      <c r="H35" s="7">
        <f>I34</f>
        <v>46241</v>
      </c>
      <c r="I35" s="7">
        <f t="shared" si="0"/>
        <v>46251</v>
      </c>
      <c r="J35" s="4" t="s">
        <v>13</v>
      </c>
      <c r="K35" s="4" t="str">
        <f t="shared" si="1"/>
        <v>AUTOMATIC VCP PANEL PLATING LINE-CHEMICAL TRIALS</v>
      </c>
      <c r="L35" s="4" t="str">
        <f t="shared" si="2"/>
        <v>UCE-AUTOMATIC VCP PANEL PLATING LINE</v>
      </c>
    </row>
    <row r="36" spans="1:21" ht="30" customHeight="1" x14ac:dyDescent="0.25">
      <c r="A36" s="4">
        <v>35</v>
      </c>
      <c r="B36" s="5" t="s">
        <v>23</v>
      </c>
      <c r="C36" s="5" t="s">
        <v>8</v>
      </c>
      <c r="D36" s="5" t="s">
        <v>27</v>
      </c>
      <c r="E36" s="5" t="s">
        <v>16</v>
      </c>
      <c r="F36" s="6">
        <v>3</v>
      </c>
      <c r="G36" s="7">
        <f>I35</f>
        <v>46251</v>
      </c>
      <c r="H36" s="7">
        <f>I35</f>
        <v>46251</v>
      </c>
      <c r="I36" s="7">
        <f t="shared" si="0"/>
        <v>46254</v>
      </c>
      <c r="J36" s="4" t="s">
        <v>13</v>
      </c>
      <c r="K36" s="4" t="str">
        <f t="shared" si="1"/>
        <v>AUTOMATIC VCP PANEL PLATING LINE-TRAINING</v>
      </c>
      <c r="L36" s="4" t="str">
        <f t="shared" si="2"/>
        <v>UCE-AUTOMATIC VCP PANEL PLATING LINE</v>
      </c>
      <c r="U36" s="10"/>
    </row>
    <row r="37" spans="1:21" ht="30" customHeight="1" x14ac:dyDescent="0.25">
      <c r="A37" s="4">
        <v>36</v>
      </c>
      <c r="B37" s="5" t="s">
        <v>23</v>
      </c>
      <c r="C37" s="5" t="s">
        <v>8</v>
      </c>
      <c r="D37" s="5" t="s">
        <v>28</v>
      </c>
      <c r="E37" s="5" t="s">
        <v>12</v>
      </c>
      <c r="F37" s="11">
        <v>6</v>
      </c>
      <c r="G37" s="7"/>
      <c r="H37" s="7">
        <v>46216</v>
      </c>
      <c r="I37" s="7">
        <v>46222</v>
      </c>
      <c r="J37" s="4" t="s">
        <v>13</v>
      </c>
      <c r="K37" s="4" t="str">
        <f t="shared" si="1"/>
        <v>PLASMA DESMEAR MACHINE-INSTALLATION</v>
      </c>
      <c r="L37" s="4" t="str">
        <f t="shared" si="2"/>
        <v>UCE-PLASMA DESMEAR MACHINE</v>
      </c>
      <c r="P37" s="8">
        <f>G37+$Q$1</f>
        <v>26</v>
      </c>
      <c r="T37" s="4">
        <f>I40-H37</f>
        <v>14</v>
      </c>
      <c r="U37" s="10"/>
    </row>
    <row r="38" spans="1:21" ht="30" customHeight="1" x14ac:dyDescent="0.25">
      <c r="A38" s="4">
        <v>37</v>
      </c>
      <c r="B38" s="5" t="s">
        <v>23</v>
      </c>
      <c r="C38" s="5" t="s">
        <v>8</v>
      </c>
      <c r="D38" s="5" t="s">
        <v>28</v>
      </c>
      <c r="E38" s="5" t="s">
        <v>14</v>
      </c>
      <c r="F38" s="11">
        <v>1</v>
      </c>
      <c r="G38" s="7"/>
      <c r="H38" s="7">
        <v>46223</v>
      </c>
      <c r="I38" s="7">
        <v>46224</v>
      </c>
      <c r="J38" s="4" t="s">
        <v>13</v>
      </c>
      <c r="K38" s="4" t="str">
        <f t="shared" si="1"/>
        <v>PLASMA DESMEAR MACHINE-LEACHING</v>
      </c>
      <c r="L38" s="4" t="str">
        <f t="shared" si="2"/>
        <v>UCE-PLASMA DESMEAR MACHINE</v>
      </c>
    </row>
    <row r="39" spans="1:21" ht="30" customHeight="1" x14ac:dyDescent="0.25">
      <c r="A39" s="4">
        <v>38</v>
      </c>
      <c r="B39" s="5" t="s">
        <v>23</v>
      </c>
      <c r="C39" s="5" t="s">
        <v>8</v>
      </c>
      <c r="D39" s="5" t="s">
        <v>28</v>
      </c>
      <c r="E39" s="5" t="s">
        <v>15</v>
      </c>
      <c r="F39" s="11">
        <v>2</v>
      </c>
      <c r="G39" s="7"/>
      <c r="H39" s="7">
        <v>46225</v>
      </c>
      <c r="I39" s="7">
        <v>46227</v>
      </c>
      <c r="J39" s="4" t="s">
        <v>13</v>
      </c>
      <c r="K39" s="4" t="str">
        <f t="shared" si="1"/>
        <v>PLASMA DESMEAR MACHINE-CHEMICAL TRIALS</v>
      </c>
      <c r="L39" s="4" t="str">
        <f t="shared" si="2"/>
        <v>UCE-PLASMA DESMEAR MACHINE</v>
      </c>
    </row>
    <row r="40" spans="1:21" ht="30" customHeight="1" x14ac:dyDescent="0.25">
      <c r="A40" s="4">
        <v>39</v>
      </c>
      <c r="B40" s="5" t="s">
        <v>23</v>
      </c>
      <c r="C40" s="5" t="s">
        <v>8</v>
      </c>
      <c r="D40" s="5" t="s">
        <v>28</v>
      </c>
      <c r="E40" s="5" t="s">
        <v>16</v>
      </c>
      <c r="F40" s="6">
        <v>2</v>
      </c>
      <c r="G40" s="7"/>
      <c r="H40" s="7">
        <v>46228</v>
      </c>
      <c r="I40" s="7">
        <v>46230</v>
      </c>
      <c r="J40" s="4" t="s">
        <v>13</v>
      </c>
      <c r="K40" s="4" t="str">
        <f t="shared" si="1"/>
        <v>PLASMA DESMEAR MACHINE-TRAINING</v>
      </c>
      <c r="L40" s="4" t="str">
        <f t="shared" si="2"/>
        <v>UCE-PLASMA DESMEAR MACHINE</v>
      </c>
      <c r="U40" s="10"/>
    </row>
    <row r="41" spans="1:21" ht="30" customHeight="1" x14ac:dyDescent="0.25">
      <c r="A41" s="4">
        <v>40</v>
      </c>
      <c r="B41" s="5" t="s">
        <v>29</v>
      </c>
      <c r="C41" s="5" t="s">
        <v>8</v>
      </c>
      <c r="D41" s="5" t="s">
        <v>30</v>
      </c>
      <c r="E41" s="5" t="s">
        <v>12</v>
      </c>
      <c r="F41" s="11">
        <v>7</v>
      </c>
      <c r="G41" s="7">
        <v>46175</v>
      </c>
      <c r="H41" s="7">
        <f>P41</f>
        <v>46195</v>
      </c>
      <c r="I41" s="7">
        <f t="shared" si="0"/>
        <v>46202</v>
      </c>
      <c r="J41" s="4" t="s">
        <v>13</v>
      </c>
      <c r="K41" s="4" t="str">
        <f t="shared" si="1"/>
        <v>FINAL CLEANING LINE-INSTALLATION</v>
      </c>
      <c r="L41" s="4" t="str">
        <f t="shared" si="2"/>
        <v>UCE-FINAL CLEANING LINE</v>
      </c>
      <c r="P41" s="8">
        <f>G41+$Q$1-6</f>
        <v>46195</v>
      </c>
      <c r="T41" s="4">
        <f>I44-H41</f>
        <v>50</v>
      </c>
      <c r="U41" s="10"/>
    </row>
    <row r="42" spans="1:21" ht="30" customHeight="1" x14ac:dyDescent="0.25">
      <c r="A42" s="4">
        <v>41</v>
      </c>
      <c r="B42" s="5" t="s">
        <v>29</v>
      </c>
      <c r="C42" s="5" t="s">
        <v>8</v>
      </c>
      <c r="D42" s="5" t="s">
        <v>30</v>
      </c>
      <c r="E42" s="5" t="s">
        <v>14</v>
      </c>
      <c r="F42" s="11">
        <v>3</v>
      </c>
      <c r="G42" s="7">
        <f>I41</f>
        <v>46202</v>
      </c>
      <c r="H42" s="7">
        <f>I41+35</f>
        <v>46237</v>
      </c>
      <c r="I42" s="7">
        <f t="shared" si="0"/>
        <v>46240</v>
      </c>
      <c r="J42" s="4" t="s">
        <v>13</v>
      </c>
      <c r="K42" s="4" t="str">
        <f t="shared" si="1"/>
        <v>FINAL CLEANING LINE-LEACHING</v>
      </c>
      <c r="L42" s="4" t="str">
        <f t="shared" si="2"/>
        <v>UCE-FINAL CLEANING LINE</v>
      </c>
    </row>
    <row r="43" spans="1:21" ht="30" customHeight="1" x14ac:dyDescent="0.25">
      <c r="A43" s="4">
        <v>42</v>
      </c>
      <c r="B43" s="5" t="s">
        <v>29</v>
      </c>
      <c r="C43" s="5" t="s">
        <v>8</v>
      </c>
      <c r="D43" s="5" t="s">
        <v>30</v>
      </c>
      <c r="E43" s="5" t="s">
        <v>15</v>
      </c>
      <c r="F43" s="11">
        <v>2</v>
      </c>
      <c r="G43" s="7">
        <f>I42</f>
        <v>46240</v>
      </c>
      <c r="H43" s="7">
        <f>I42</f>
        <v>46240</v>
      </c>
      <c r="I43" s="7">
        <f t="shared" si="0"/>
        <v>46242</v>
      </c>
      <c r="J43" s="4" t="s">
        <v>13</v>
      </c>
      <c r="K43" s="4" t="str">
        <f t="shared" si="1"/>
        <v>FINAL CLEANING LINE-CHEMICAL TRIALS</v>
      </c>
      <c r="L43" s="4" t="str">
        <f t="shared" si="2"/>
        <v>UCE-FINAL CLEANING LINE</v>
      </c>
    </row>
    <row r="44" spans="1:21" ht="30" customHeight="1" x14ac:dyDescent="0.25">
      <c r="A44" s="4">
        <v>43</v>
      </c>
      <c r="B44" s="5" t="s">
        <v>29</v>
      </c>
      <c r="C44" s="5" t="s">
        <v>8</v>
      </c>
      <c r="D44" s="5" t="s">
        <v>30</v>
      </c>
      <c r="E44" s="5" t="s">
        <v>16</v>
      </c>
      <c r="F44" s="6">
        <v>3</v>
      </c>
      <c r="G44" s="7">
        <f>I43</f>
        <v>46242</v>
      </c>
      <c r="H44" s="7">
        <f>I43</f>
        <v>46242</v>
      </c>
      <c r="I44" s="7">
        <f t="shared" si="0"/>
        <v>46245</v>
      </c>
      <c r="J44" s="4" t="s">
        <v>13</v>
      </c>
      <c r="K44" s="4" t="str">
        <f t="shared" si="1"/>
        <v>FINAL CLEANING LINE-TRAINING</v>
      </c>
      <c r="L44" s="4" t="str">
        <f t="shared" si="2"/>
        <v>UCE-FINAL CLEANING LINE</v>
      </c>
      <c r="U44" s="10"/>
    </row>
    <row r="45" spans="1:21" ht="30" customHeight="1" x14ac:dyDescent="0.25">
      <c r="A45" s="4">
        <v>44</v>
      </c>
      <c r="B45" s="5" t="s">
        <v>29</v>
      </c>
      <c r="C45" s="5" t="s">
        <v>8</v>
      </c>
      <c r="D45" s="5" t="s">
        <v>31</v>
      </c>
      <c r="E45" s="5" t="s">
        <v>12</v>
      </c>
      <c r="F45" s="11">
        <v>11</v>
      </c>
      <c r="G45" s="7">
        <v>46166</v>
      </c>
      <c r="H45" s="7">
        <f>P45</f>
        <v>46191</v>
      </c>
      <c r="I45" s="7">
        <f t="shared" si="0"/>
        <v>46202</v>
      </c>
      <c r="J45" s="4" t="s">
        <v>13</v>
      </c>
      <c r="K45" s="4" t="str">
        <f t="shared" si="1"/>
        <v>OSP LINE-INSTALLATION</v>
      </c>
      <c r="L45" s="4" t="str">
        <f t="shared" si="2"/>
        <v>UCE-OSP LINE</v>
      </c>
      <c r="P45" s="8">
        <f>G45+$Q$1-1</f>
        <v>46191</v>
      </c>
      <c r="T45" s="4">
        <f>I48-H45</f>
        <v>56</v>
      </c>
      <c r="U45" s="10"/>
    </row>
    <row r="46" spans="1:21" ht="30" customHeight="1" x14ac:dyDescent="0.25">
      <c r="A46" s="4">
        <v>45</v>
      </c>
      <c r="B46" s="5" t="s">
        <v>29</v>
      </c>
      <c r="C46" s="5" t="s">
        <v>8</v>
      </c>
      <c r="D46" s="5" t="s">
        <v>31</v>
      </c>
      <c r="E46" s="5" t="s">
        <v>14</v>
      </c>
      <c r="F46" s="11">
        <v>3</v>
      </c>
      <c r="G46" s="7">
        <f>I45</f>
        <v>46202</v>
      </c>
      <c r="H46" s="7">
        <f>I45+35</f>
        <v>46237</v>
      </c>
      <c r="I46" s="7">
        <f t="shared" si="0"/>
        <v>46240</v>
      </c>
      <c r="J46" s="4" t="s">
        <v>13</v>
      </c>
      <c r="K46" s="4" t="str">
        <f t="shared" si="1"/>
        <v>OSP LINE-LEACHING</v>
      </c>
      <c r="L46" s="4" t="str">
        <f t="shared" si="2"/>
        <v>UCE-OSP LINE</v>
      </c>
    </row>
    <row r="47" spans="1:21" ht="30" customHeight="1" x14ac:dyDescent="0.25">
      <c r="A47" s="4">
        <v>46</v>
      </c>
      <c r="B47" s="5" t="s">
        <v>29</v>
      </c>
      <c r="C47" s="5" t="s">
        <v>8</v>
      </c>
      <c r="D47" s="5" t="s">
        <v>31</v>
      </c>
      <c r="E47" s="5" t="s">
        <v>15</v>
      </c>
      <c r="F47" s="11">
        <v>4</v>
      </c>
      <c r="G47" s="7">
        <f>I46</f>
        <v>46240</v>
      </c>
      <c r="H47" s="7">
        <f>I46</f>
        <v>46240</v>
      </c>
      <c r="I47" s="7">
        <f t="shared" si="0"/>
        <v>46244</v>
      </c>
      <c r="J47" s="4" t="s">
        <v>13</v>
      </c>
      <c r="K47" s="4" t="str">
        <f t="shared" si="1"/>
        <v>OSP LINE-CHEMICAL TRIALS</v>
      </c>
      <c r="L47" s="4" t="str">
        <f t="shared" si="2"/>
        <v>UCE-OSP LINE</v>
      </c>
    </row>
    <row r="48" spans="1:21" ht="30" customHeight="1" x14ac:dyDescent="0.25">
      <c r="A48" s="4">
        <v>47</v>
      </c>
      <c r="B48" s="5" t="s">
        <v>29</v>
      </c>
      <c r="C48" s="5" t="s">
        <v>8</v>
      </c>
      <c r="D48" s="5" t="s">
        <v>31</v>
      </c>
      <c r="E48" s="5" t="s">
        <v>16</v>
      </c>
      <c r="F48" s="6">
        <v>3</v>
      </c>
      <c r="G48" s="7">
        <f>I47</f>
        <v>46244</v>
      </c>
      <c r="H48" s="7">
        <f>I47</f>
        <v>46244</v>
      </c>
      <c r="I48" s="7">
        <f t="shared" si="0"/>
        <v>46247</v>
      </c>
      <c r="J48" s="4" t="s">
        <v>13</v>
      </c>
      <c r="K48" s="4" t="str">
        <f t="shared" si="1"/>
        <v>OSP LINE-TRAINING</v>
      </c>
      <c r="L48" s="4" t="str">
        <f t="shared" si="2"/>
        <v>UCE-OSP LINE</v>
      </c>
      <c r="U48" s="10"/>
    </row>
    <row r="49" spans="1:21" ht="30" customHeight="1" x14ac:dyDescent="0.25">
      <c r="A49" s="4">
        <v>48</v>
      </c>
      <c r="B49" s="5" t="s">
        <v>23</v>
      </c>
      <c r="C49" s="5" t="s">
        <v>8</v>
      </c>
      <c r="D49" s="5" t="s">
        <v>32</v>
      </c>
      <c r="E49" s="5" t="s">
        <v>12</v>
      </c>
      <c r="F49" s="6">
        <v>60</v>
      </c>
      <c r="G49" s="7"/>
      <c r="H49" s="7">
        <v>46237</v>
      </c>
      <c r="I49" s="7">
        <v>46297</v>
      </c>
      <c r="U49" s="10"/>
    </row>
    <row r="50" spans="1:21" ht="30" customHeight="1" x14ac:dyDescent="0.25">
      <c r="A50" s="4">
        <v>49</v>
      </c>
      <c r="B50" s="5" t="s">
        <v>23</v>
      </c>
      <c r="C50" s="5" t="s">
        <v>8</v>
      </c>
      <c r="D50" s="5" t="s">
        <v>32</v>
      </c>
      <c r="E50" s="5" t="s">
        <v>14</v>
      </c>
      <c r="F50" s="6">
        <v>7</v>
      </c>
      <c r="G50" s="7"/>
      <c r="H50" s="7">
        <v>46298</v>
      </c>
      <c r="I50" s="7">
        <v>46305</v>
      </c>
      <c r="U50" s="10"/>
    </row>
    <row r="51" spans="1:21" ht="30" customHeight="1" x14ac:dyDescent="0.25">
      <c r="A51" s="4">
        <v>50</v>
      </c>
      <c r="B51" s="5" t="s">
        <v>23</v>
      </c>
      <c r="C51" s="5" t="s">
        <v>8</v>
      </c>
      <c r="D51" s="5" t="s">
        <v>32</v>
      </c>
      <c r="E51" s="5" t="s">
        <v>15</v>
      </c>
      <c r="F51" s="6">
        <v>7</v>
      </c>
      <c r="G51" s="7"/>
      <c r="H51" s="7">
        <v>46306</v>
      </c>
      <c r="I51" s="7">
        <v>46313</v>
      </c>
      <c r="U51" s="10"/>
    </row>
    <row r="52" spans="1:21" ht="30" customHeight="1" x14ac:dyDescent="0.25">
      <c r="A52" s="4">
        <v>51</v>
      </c>
      <c r="B52" s="5" t="s">
        <v>23</v>
      </c>
      <c r="C52" s="5" t="s">
        <v>8</v>
      </c>
      <c r="D52" s="5" t="s">
        <v>32</v>
      </c>
      <c r="E52" s="5" t="s">
        <v>16</v>
      </c>
      <c r="F52" s="6">
        <v>3</v>
      </c>
      <c r="G52" s="7"/>
      <c r="H52" s="7">
        <v>46314</v>
      </c>
      <c r="I52" s="7">
        <v>46317</v>
      </c>
      <c r="U52" s="10"/>
    </row>
    <row r="53" spans="1:21" ht="30" customHeight="1" x14ac:dyDescent="0.25">
      <c r="A53" s="4">
        <v>52</v>
      </c>
      <c r="B53" s="5" t="s">
        <v>23</v>
      </c>
      <c r="C53" s="5" t="s">
        <v>8</v>
      </c>
      <c r="D53" s="5" t="s">
        <v>33</v>
      </c>
      <c r="E53" s="5" t="s">
        <v>12</v>
      </c>
      <c r="F53" s="6">
        <v>45</v>
      </c>
      <c r="G53" s="7"/>
      <c r="H53" s="7">
        <v>46237</v>
      </c>
      <c r="I53" s="7">
        <v>46282</v>
      </c>
      <c r="U53" s="10"/>
    </row>
    <row r="54" spans="1:21" ht="30" customHeight="1" x14ac:dyDescent="0.25">
      <c r="A54" s="4">
        <v>53</v>
      </c>
      <c r="B54" s="5" t="s">
        <v>23</v>
      </c>
      <c r="C54" s="5" t="s">
        <v>8</v>
      </c>
      <c r="D54" s="5" t="s">
        <v>33</v>
      </c>
      <c r="E54" s="5" t="s">
        <v>14</v>
      </c>
      <c r="F54" s="6">
        <v>4</v>
      </c>
      <c r="G54" s="7"/>
      <c r="H54" s="7">
        <v>46283</v>
      </c>
      <c r="I54" s="7">
        <v>46287</v>
      </c>
      <c r="U54" s="10"/>
    </row>
    <row r="55" spans="1:21" ht="30" customHeight="1" x14ac:dyDescent="0.25">
      <c r="A55" s="4">
        <v>54</v>
      </c>
      <c r="B55" s="5" t="s">
        <v>23</v>
      </c>
      <c r="C55" s="5" t="s">
        <v>8</v>
      </c>
      <c r="D55" s="5" t="s">
        <v>33</v>
      </c>
      <c r="E55" s="5" t="s">
        <v>15</v>
      </c>
      <c r="F55" s="6">
        <v>4</v>
      </c>
      <c r="G55" s="7"/>
      <c r="H55" s="7">
        <v>46288</v>
      </c>
      <c r="I55" s="7">
        <v>46292</v>
      </c>
      <c r="U55" s="10"/>
    </row>
    <row r="56" spans="1:21" ht="30" customHeight="1" x14ac:dyDescent="0.25">
      <c r="A56" s="4">
        <v>55</v>
      </c>
      <c r="B56" s="5" t="s">
        <v>23</v>
      </c>
      <c r="C56" s="5" t="s">
        <v>8</v>
      </c>
      <c r="D56" s="5" t="s">
        <v>33</v>
      </c>
      <c r="E56" s="5" t="s">
        <v>16</v>
      </c>
      <c r="F56" s="6">
        <v>2</v>
      </c>
      <c r="G56" s="7"/>
      <c r="H56" s="7">
        <v>46293</v>
      </c>
      <c r="I56" s="7">
        <v>46295</v>
      </c>
      <c r="U56" s="10"/>
    </row>
    <row r="57" spans="1:21" ht="30" customHeight="1" x14ac:dyDescent="0.25">
      <c r="A57" s="4">
        <v>56</v>
      </c>
      <c r="B57" s="5" t="s">
        <v>23</v>
      </c>
      <c r="C57" s="5" t="s">
        <v>8</v>
      </c>
      <c r="D57" s="5" t="s">
        <v>34</v>
      </c>
      <c r="E57" s="5" t="s">
        <v>12</v>
      </c>
      <c r="F57" s="6">
        <v>18</v>
      </c>
      <c r="G57" s="7"/>
      <c r="H57" s="7">
        <v>46237</v>
      </c>
      <c r="I57" s="7">
        <v>46255</v>
      </c>
      <c r="U57" s="10"/>
    </row>
    <row r="58" spans="1:21" ht="30" customHeight="1" x14ac:dyDescent="0.25">
      <c r="A58" s="4">
        <v>57</v>
      </c>
      <c r="B58" s="5" t="s">
        <v>23</v>
      </c>
      <c r="C58" s="5" t="s">
        <v>8</v>
      </c>
      <c r="D58" s="5" t="s">
        <v>34</v>
      </c>
      <c r="E58" s="5" t="s">
        <v>14</v>
      </c>
      <c r="F58" s="6">
        <v>3</v>
      </c>
      <c r="G58" s="7"/>
      <c r="H58" s="7">
        <v>46256</v>
      </c>
      <c r="I58" s="7">
        <v>46259</v>
      </c>
      <c r="U58" s="10"/>
    </row>
    <row r="59" spans="1:21" ht="30" customHeight="1" x14ac:dyDescent="0.25">
      <c r="A59" s="4">
        <v>58</v>
      </c>
      <c r="B59" s="5" t="s">
        <v>23</v>
      </c>
      <c r="C59" s="5" t="s">
        <v>8</v>
      </c>
      <c r="D59" s="5" t="s">
        <v>34</v>
      </c>
      <c r="E59" s="5" t="s">
        <v>15</v>
      </c>
      <c r="F59" s="6">
        <v>3</v>
      </c>
      <c r="G59" s="7"/>
      <c r="H59" s="7">
        <v>46260</v>
      </c>
      <c r="I59" s="7">
        <v>46263</v>
      </c>
      <c r="U59" s="10"/>
    </row>
    <row r="60" spans="1:21" ht="30" customHeight="1" x14ac:dyDescent="0.25">
      <c r="A60" s="4">
        <v>59</v>
      </c>
      <c r="B60" s="5" t="s">
        <v>23</v>
      </c>
      <c r="C60" s="5" t="s">
        <v>8</v>
      </c>
      <c r="D60" s="5" t="s">
        <v>34</v>
      </c>
      <c r="E60" s="5" t="s">
        <v>16</v>
      </c>
      <c r="F60" s="6">
        <v>2</v>
      </c>
      <c r="G60" s="7"/>
      <c r="H60" s="7">
        <v>46264</v>
      </c>
      <c r="I60" s="7">
        <v>46266</v>
      </c>
      <c r="U60" s="10"/>
    </row>
    <row r="61" spans="1:21" ht="30" customHeight="1" x14ac:dyDescent="0.25">
      <c r="A61" s="4">
        <v>60</v>
      </c>
      <c r="B61" s="5" t="s">
        <v>10</v>
      </c>
      <c r="C61" s="5" t="s">
        <v>8</v>
      </c>
      <c r="D61" s="5" t="s">
        <v>35</v>
      </c>
      <c r="E61" s="5" t="s">
        <v>12</v>
      </c>
      <c r="F61" s="6">
        <v>12</v>
      </c>
      <c r="G61" s="7"/>
      <c r="H61" s="7">
        <v>46237</v>
      </c>
      <c r="I61" s="7">
        <v>46249</v>
      </c>
      <c r="U61" s="10"/>
    </row>
    <row r="62" spans="1:21" ht="30" customHeight="1" x14ac:dyDescent="0.25">
      <c r="A62" s="4">
        <v>61</v>
      </c>
      <c r="B62" s="5" t="s">
        <v>10</v>
      </c>
      <c r="C62" s="5" t="s">
        <v>8</v>
      </c>
      <c r="D62" s="5" t="s">
        <v>35</v>
      </c>
      <c r="E62" s="5" t="s">
        <v>14</v>
      </c>
      <c r="F62" s="6">
        <v>3</v>
      </c>
      <c r="G62" s="7"/>
      <c r="H62" s="7">
        <v>46250</v>
      </c>
      <c r="I62" s="7">
        <v>46253</v>
      </c>
      <c r="U62" s="10"/>
    </row>
    <row r="63" spans="1:21" ht="30" customHeight="1" x14ac:dyDescent="0.25">
      <c r="A63" s="4">
        <v>62</v>
      </c>
      <c r="B63" s="5" t="s">
        <v>10</v>
      </c>
      <c r="C63" s="5" t="s">
        <v>8</v>
      </c>
      <c r="D63" s="5" t="s">
        <v>35</v>
      </c>
      <c r="E63" s="5" t="s">
        <v>15</v>
      </c>
      <c r="F63" s="6">
        <v>3</v>
      </c>
      <c r="G63" s="7"/>
      <c r="H63" s="7">
        <v>46254</v>
      </c>
      <c r="I63" s="7">
        <v>46257</v>
      </c>
      <c r="U63" s="10"/>
    </row>
    <row r="64" spans="1:21" ht="30" customHeight="1" x14ac:dyDescent="0.25">
      <c r="A64" s="4">
        <v>63</v>
      </c>
      <c r="B64" s="5" t="s">
        <v>10</v>
      </c>
      <c r="C64" s="5" t="s">
        <v>8</v>
      </c>
      <c r="D64" s="5" t="s">
        <v>35</v>
      </c>
      <c r="E64" s="5" t="s">
        <v>16</v>
      </c>
      <c r="F64" s="6">
        <v>2</v>
      </c>
      <c r="G64" s="7"/>
      <c r="H64" s="7">
        <v>46258</v>
      </c>
      <c r="I64" s="7">
        <v>46260</v>
      </c>
      <c r="U64" s="10"/>
    </row>
    <row r="65" spans="1:21" ht="30" customHeight="1" x14ac:dyDescent="0.25">
      <c r="A65" s="4">
        <v>64</v>
      </c>
      <c r="B65" s="5" t="s">
        <v>10</v>
      </c>
      <c r="C65" s="5" t="s">
        <v>8</v>
      </c>
      <c r="D65" s="5" t="s">
        <v>36</v>
      </c>
      <c r="E65" s="5" t="s">
        <v>12</v>
      </c>
      <c r="F65" s="6">
        <v>15</v>
      </c>
      <c r="G65" s="7"/>
      <c r="H65" s="7">
        <v>46237</v>
      </c>
      <c r="I65" s="7">
        <v>46252</v>
      </c>
      <c r="U65" s="10"/>
    </row>
    <row r="66" spans="1:21" ht="30" customHeight="1" x14ac:dyDescent="0.25">
      <c r="A66" s="4">
        <v>65</v>
      </c>
      <c r="B66" s="5" t="s">
        <v>10</v>
      </c>
      <c r="C66" s="5" t="s">
        <v>8</v>
      </c>
      <c r="D66" s="5" t="s">
        <v>36</v>
      </c>
      <c r="E66" s="5" t="s">
        <v>14</v>
      </c>
      <c r="F66" s="6">
        <v>3</v>
      </c>
      <c r="G66" s="7"/>
      <c r="H66" s="7">
        <v>46253</v>
      </c>
      <c r="I66" s="7">
        <v>46256</v>
      </c>
      <c r="U66" s="10"/>
    </row>
    <row r="67" spans="1:21" ht="30" customHeight="1" x14ac:dyDescent="0.25">
      <c r="A67" s="4">
        <v>66</v>
      </c>
      <c r="B67" s="5" t="s">
        <v>10</v>
      </c>
      <c r="C67" s="5" t="s">
        <v>8</v>
      </c>
      <c r="D67" s="5" t="s">
        <v>36</v>
      </c>
      <c r="E67" s="5" t="s">
        <v>15</v>
      </c>
      <c r="F67" s="6">
        <v>3</v>
      </c>
      <c r="G67" s="7"/>
      <c r="H67" s="7">
        <v>46257</v>
      </c>
      <c r="I67" s="7">
        <v>46260</v>
      </c>
      <c r="U67" s="10"/>
    </row>
    <row r="68" spans="1:21" ht="30" customHeight="1" x14ac:dyDescent="0.25">
      <c r="A68" s="4">
        <v>67</v>
      </c>
      <c r="B68" s="5" t="s">
        <v>10</v>
      </c>
      <c r="C68" s="5" t="s">
        <v>8</v>
      </c>
      <c r="D68" s="5" t="s">
        <v>36</v>
      </c>
      <c r="E68" s="5" t="s">
        <v>16</v>
      </c>
      <c r="F68" s="6">
        <v>2</v>
      </c>
      <c r="G68" s="7"/>
      <c r="H68" s="7">
        <v>46261</v>
      </c>
      <c r="I68" s="7">
        <v>46263</v>
      </c>
      <c r="U68" s="10"/>
    </row>
    <row r="69" spans="1:21" ht="30" customHeight="1" x14ac:dyDescent="0.25">
      <c r="A69" s="4">
        <v>68</v>
      </c>
      <c r="B69" s="5" t="s">
        <v>10</v>
      </c>
      <c r="C69" s="5" t="s">
        <v>8</v>
      </c>
      <c r="D69" s="5" t="s">
        <v>37</v>
      </c>
      <c r="E69" s="5" t="s">
        <v>12</v>
      </c>
      <c r="F69" s="6">
        <v>9</v>
      </c>
      <c r="G69" s="7"/>
      <c r="H69" s="7">
        <v>46241</v>
      </c>
      <c r="I69" s="7">
        <v>46250</v>
      </c>
      <c r="U69" s="10"/>
    </row>
    <row r="70" spans="1:21" ht="30" customHeight="1" x14ac:dyDescent="0.25">
      <c r="A70" s="4">
        <v>69</v>
      </c>
      <c r="B70" s="5" t="s">
        <v>10</v>
      </c>
      <c r="C70" s="5" t="s">
        <v>8</v>
      </c>
      <c r="D70" s="5" t="s">
        <v>37</v>
      </c>
      <c r="E70" s="5" t="s">
        <v>14</v>
      </c>
      <c r="F70" s="6">
        <v>3</v>
      </c>
      <c r="G70" s="7"/>
      <c r="H70" s="7">
        <v>46251</v>
      </c>
      <c r="I70" s="7">
        <v>46254</v>
      </c>
      <c r="U70" s="10"/>
    </row>
    <row r="71" spans="1:21" ht="30" customHeight="1" x14ac:dyDescent="0.25">
      <c r="A71" s="4">
        <v>70</v>
      </c>
      <c r="B71" s="5" t="s">
        <v>10</v>
      </c>
      <c r="C71" s="5" t="s">
        <v>8</v>
      </c>
      <c r="D71" s="5" t="s">
        <v>37</v>
      </c>
      <c r="E71" s="5" t="s">
        <v>15</v>
      </c>
      <c r="F71" s="6">
        <v>3</v>
      </c>
      <c r="G71" s="7"/>
      <c r="H71" s="7">
        <v>46255</v>
      </c>
      <c r="I71" s="7">
        <v>46258</v>
      </c>
      <c r="U71" s="10"/>
    </row>
    <row r="72" spans="1:21" ht="30" customHeight="1" x14ac:dyDescent="0.25">
      <c r="A72" s="4">
        <v>71</v>
      </c>
      <c r="B72" s="5" t="s">
        <v>10</v>
      </c>
      <c r="C72" s="5" t="s">
        <v>8</v>
      </c>
      <c r="D72" s="5" t="s">
        <v>37</v>
      </c>
      <c r="E72" s="5" t="s">
        <v>16</v>
      </c>
      <c r="F72" s="6">
        <v>2</v>
      </c>
      <c r="G72" s="7"/>
      <c r="H72" s="7">
        <v>46259</v>
      </c>
      <c r="I72" s="7">
        <v>46261</v>
      </c>
      <c r="U72" s="10"/>
    </row>
    <row r="73" spans="1:21" ht="30" customHeight="1" x14ac:dyDescent="0.25">
      <c r="A73" s="4">
        <v>72</v>
      </c>
      <c r="B73" s="5" t="s">
        <v>21</v>
      </c>
      <c r="C73" s="5" t="s">
        <v>8</v>
      </c>
      <c r="D73" s="5" t="s">
        <v>38</v>
      </c>
      <c r="E73" s="5" t="s">
        <v>12</v>
      </c>
      <c r="F73" s="6">
        <v>8</v>
      </c>
      <c r="G73" s="7"/>
      <c r="H73" s="7">
        <v>46242</v>
      </c>
      <c r="I73" s="7">
        <v>46250</v>
      </c>
      <c r="U73" s="10"/>
    </row>
    <row r="74" spans="1:21" ht="30" customHeight="1" x14ac:dyDescent="0.25">
      <c r="A74" s="4">
        <v>73</v>
      </c>
      <c r="B74" s="5" t="s">
        <v>21</v>
      </c>
      <c r="C74" s="5" t="s">
        <v>8</v>
      </c>
      <c r="D74" s="5" t="s">
        <v>38</v>
      </c>
      <c r="E74" s="5" t="s">
        <v>16</v>
      </c>
      <c r="F74" s="6">
        <v>2</v>
      </c>
      <c r="G74" s="7"/>
      <c r="H74" s="7">
        <v>46251</v>
      </c>
      <c r="I74" s="7">
        <v>46253</v>
      </c>
      <c r="U74" s="10"/>
    </row>
    <row r="75" spans="1:21" ht="30" customHeight="1" x14ac:dyDescent="0.25">
      <c r="A75" s="4">
        <v>74</v>
      </c>
      <c r="B75" s="5" t="s">
        <v>29</v>
      </c>
      <c r="C75" s="5" t="s">
        <v>8</v>
      </c>
      <c r="D75" s="5" t="s">
        <v>39</v>
      </c>
      <c r="E75" s="5" t="s">
        <v>12</v>
      </c>
      <c r="F75" s="6">
        <v>18</v>
      </c>
      <c r="G75" s="7"/>
      <c r="H75" s="7">
        <v>46244</v>
      </c>
      <c r="I75" s="7">
        <v>46262</v>
      </c>
      <c r="U75" s="10"/>
    </row>
    <row r="76" spans="1:21" ht="30" customHeight="1" x14ac:dyDescent="0.25">
      <c r="A76" s="4">
        <v>75</v>
      </c>
      <c r="B76" s="5" t="s">
        <v>29</v>
      </c>
      <c r="C76" s="5" t="s">
        <v>8</v>
      </c>
      <c r="D76" s="5" t="s">
        <v>39</v>
      </c>
      <c r="E76" s="5" t="s">
        <v>14</v>
      </c>
      <c r="F76" s="6">
        <v>4</v>
      </c>
      <c r="G76" s="7"/>
      <c r="H76" s="7">
        <v>46263</v>
      </c>
      <c r="I76" s="7">
        <v>46267</v>
      </c>
      <c r="U76" s="10"/>
    </row>
    <row r="77" spans="1:21" ht="30" customHeight="1" x14ac:dyDescent="0.25">
      <c r="A77" s="4">
        <v>76</v>
      </c>
      <c r="B77" s="5" t="s">
        <v>29</v>
      </c>
      <c r="C77" s="5" t="s">
        <v>8</v>
      </c>
      <c r="D77" s="5" t="s">
        <v>39</v>
      </c>
      <c r="E77" s="5" t="s">
        <v>15</v>
      </c>
      <c r="F77" s="6">
        <v>3</v>
      </c>
      <c r="G77" s="7"/>
      <c r="H77" s="7">
        <v>46268</v>
      </c>
      <c r="I77" s="7">
        <v>46271</v>
      </c>
      <c r="U77" s="10"/>
    </row>
    <row r="78" spans="1:21" ht="30" customHeight="1" x14ac:dyDescent="0.25">
      <c r="A78" s="4">
        <v>77</v>
      </c>
      <c r="B78" s="5" t="s">
        <v>29</v>
      </c>
      <c r="C78" s="5" t="s">
        <v>8</v>
      </c>
      <c r="D78" s="5" t="s">
        <v>39</v>
      </c>
      <c r="E78" s="5" t="s">
        <v>16</v>
      </c>
      <c r="F78" s="6">
        <v>2</v>
      </c>
      <c r="G78" s="7"/>
      <c r="H78" s="7">
        <v>46272</v>
      </c>
      <c r="I78" s="7">
        <v>46274</v>
      </c>
      <c r="U78" s="10"/>
    </row>
    <row r="79" spans="1:21" ht="30" customHeight="1" x14ac:dyDescent="0.25">
      <c r="A79" s="4">
        <v>78</v>
      </c>
      <c r="B79" s="5" t="s">
        <v>29</v>
      </c>
      <c r="C79" s="5" t="s">
        <v>8</v>
      </c>
      <c r="D79" s="5" t="s">
        <v>40</v>
      </c>
      <c r="E79" s="5" t="s">
        <v>12</v>
      </c>
      <c r="F79" s="6">
        <v>8</v>
      </c>
      <c r="G79" s="7"/>
      <c r="H79" s="7">
        <v>46245</v>
      </c>
      <c r="I79" s="7">
        <v>46253</v>
      </c>
      <c r="U79" s="10"/>
    </row>
    <row r="80" spans="1:21" ht="30" customHeight="1" x14ac:dyDescent="0.25">
      <c r="A80" s="4">
        <v>79</v>
      </c>
      <c r="B80" s="5" t="s">
        <v>29</v>
      </c>
      <c r="C80" s="5" t="s">
        <v>8</v>
      </c>
      <c r="D80" s="5" t="s">
        <v>40</v>
      </c>
      <c r="E80" s="5" t="s">
        <v>14</v>
      </c>
      <c r="F80" s="6">
        <v>2</v>
      </c>
      <c r="G80" s="7"/>
      <c r="H80" s="7">
        <v>46254</v>
      </c>
      <c r="I80" s="7">
        <v>46256</v>
      </c>
      <c r="U80" s="10"/>
    </row>
    <row r="81" spans="1:21" ht="30" customHeight="1" x14ac:dyDescent="0.25">
      <c r="A81" s="4">
        <v>80</v>
      </c>
      <c r="B81" s="5" t="s">
        <v>29</v>
      </c>
      <c r="C81" s="5" t="s">
        <v>8</v>
      </c>
      <c r="D81" s="5" t="s">
        <v>40</v>
      </c>
      <c r="E81" s="5" t="s">
        <v>15</v>
      </c>
      <c r="F81" s="6">
        <v>3</v>
      </c>
      <c r="G81" s="7"/>
      <c r="H81" s="7">
        <v>46257</v>
      </c>
      <c r="I81" s="7">
        <v>46260</v>
      </c>
      <c r="U81" s="10"/>
    </row>
    <row r="82" spans="1:21" ht="30" customHeight="1" x14ac:dyDescent="0.25">
      <c r="A82" s="4">
        <v>81</v>
      </c>
      <c r="B82" s="5" t="s">
        <v>29</v>
      </c>
      <c r="C82" s="5" t="s">
        <v>8</v>
      </c>
      <c r="D82" s="5" t="s">
        <v>40</v>
      </c>
      <c r="E82" s="5" t="s">
        <v>16</v>
      </c>
      <c r="F82" s="6">
        <v>2</v>
      </c>
      <c r="G82" s="7"/>
      <c r="H82" s="7">
        <v>46261</v>
      </c>
      <c r="I82" s="7">
        <v>46263</v>
      </c>
      <c r="U82" s="10"/>
    </row>
    <row r="83" spans="1:21" ht="30" customHeight="1" x14ac:dyDescent="0.25">
      <c r="A83" s="4">
        <v>82</v>
      </c>
      <c r="B83" s="5" t="s">
        <v>29</v>
      </c>
      <c r="C83" s="5" t="s">
        <v>8</v>
      </c>
      <c r="D83" s="5" t="s">
        <v>41</v>
      </c>
      <c r="E83" s="5" t="s">
        <v>12</v>
      </c>
      <c r="F83" s="6">
        <v>7</v>
      </c>
      <c r="G83" s="7"/>
      <c r="H83" s="7">
        <v>46246</v>
      </c>
      <c r="I83" s="7">
        <v>46253</v>
      </c>
      <c r="U83" s="10"/>
    </row>
    <row r="84" spans="1:21" ht="30" customHeight="1" x14ac:dyDescent="0.25">
      <c r="A84" s="4">
        <v>83</v>
      </c>
      <c r="B84" s="5" t="s">
        <v>29</v>
      </c>
      <c r="C84" s="5" t="s">
        <v>8</v>
      </c>
      <c r="D84" s="5" t="s">
        <v>41</v>
      </c>
      <c r="E84" s="5" t="s">
        <v>14</v>
      </c>
      <c r="F84" s="6">
        <v>2</v>
      </c>
      <c r="G84" s="7"/>
      <c r="H84" s="7">
        <v>46254</v>
      </c>
      <c r="I84" s="7">
        <v>46256</v>
      </c>
      <c r="U84" s="10"/>
    </row>
    <row r="85" spans="1:21" ht="30" customHeight="1" x14ac:dyDescent="0.25">
      <c r="A85" s="4">
        <v>84</v>
      </c>
      <c r="B85" s="5" t="s">
        <v>29</v>
      </c>
      <c r="C85" s="5" t="s">
        <v>8</v>
      </c>
      <c r="D85" s="5" t="s">
        <v>41</v>
      </c>
      <c r="E85" s="5" t="s">
        <v>15</v>
      </c>
      <c r="F85" s="6">
        <v>2</v>
      </c>
      <c r="G85" s="7"/>
      <c r="H85" s="7">
        <v>46257</v>
      </c>
      <c r="I85" s="7">
        <v>46259</v>
      </c>
      <c r="U85" s="10"/>
    </row>
    <row r="86" spans="1:21" ht="30" customHeight="1" x14ac:dyDescent="0.25">
      <c r="A86" s="4">
        <v>85</v>
      </c>
      <c r="B86" s="5" t="s">
        <v>29</v>
      </c>
      <c r="C86" s="5" t="s">
        <v>8</v>
      </c>
      <c r="D86" s="5" t="s">
        <v>41</v>
      </c>
      <c r="E86" s="5" t="s">
        <v>16</v>
      </c>
      <c r="F86" s="6">
        <v>2</v>
      </c>
      <c r="G86" s="7"/>
      <c r="H86" s="7">
        <v>46260</v>
      </c>
      <c r="I86" s="7">
        <v>46262</v>
      </c>
      <c r="U86" s="10"/>
    </row>
    <row r="87" spans="1:21" ht="30" customHeight="1" x14ac:dyDescent="0.25">
      <c r="A87" s="4">
        <v>86</v>
      </c>
      <c r="B87" s="5" t="s">
        <v>29</v>
      </c>
      <c r="C87" s="5" t="s">
        <v>8</v>
      </c>
      <c r="D87" s="5" t="s">
        <v>42</v>
      </c>
      <c r="E87" s="5" t="s">
        <v>12</v>
      </c>
      <c r="F87" s="6">
        <v>10</v>
      </c>
      <c r="G87" s="7"/>
      <c r="H87" s="7">
        <v>46251</v>
      </c>
      <c r="I87" s="7">
        <v>46261</v>
      </c>
      <c r="U87" s="10"/>
    </row>
    <row r="88" spans="1:21" ht="30" customHeight="1" x14ac:dyDescent="0.25">
      <c r="A88" s="4">
        <v>87</v>
      </c>
      <c r="B88" s="5" t="s">
        <v>29</v>
      </c>
      <c r="C88" s="5" t="s">
        <v>8</v>
      </c>
      <c r="D88" s="5" t="s">
        <v>42</v>
      </c>
      <c r="E88" s="5" t="s">
        <v>14</v>
      </c>
      <c r="F88" s="6">
        <v>2</v>
      </c>
      <c r="G88" s="7"/>
      <c r="H88" s="7">
        <v>46262</v>
      </c>
      <c r="I88" s="7">
        <v>46264</v>
      </c>
      <c r="U88" s="10"/>
    </row>
    <row r="89" spans="1:21" ht="30" customHeight="1" x14ac:dyDescent="0.25">
      <c r="A89" s="4">
        <v>88</v>
      </c>
      <c r="B89" s="5" t="s">
        <v>29</v>
      </c>
      <c r="C89" s="5" t="s">
        <v>8</v>
      </c>
      <c r="D89" s="5" t="s">
        <v>42</v>
      </c>
      <c r="E89" s="5" t="s">
        <v>15</v>
      </c>
      <c r="F89" s="6">
        <v>2</v>
      </c>
      <c r="G89" s="7"/>
      <c r="H89" s="7">
        <v>46265</v>
      </c>
      <c r="I89" s="7">
        <v>46267</v>
      </c>
      <c r="U89" s="10"/>
    </row>
    <row r="90" spans="1:21" ht="30" customHeight="1" x14ac:dyDescent="0.25">
      <c r="A90" s="4">
        <v>89</v>
      </c>
      <c r="B90" s="5" t="s">
        <v>29</v>
      </c>
      <c r="C90" s="5" t="s">
        <v>8</v>
      </c>
      <c r="D90" s="5" t="s">
        <v>42</v>
      </c>
      <c r="E90" s="5" t="s">
        <v>16</v>
      </c>
      <c r="F90" s="6">
        <v>2</v>
      </c>
      <c r="G90" s="7"/>
      <c r="H90" s="7">
        <v>46268</v>
      </c>
      <c r="I90" s="7">
        <v>46270</v>
      </c>
      <c r="U90" s="10"/>
    </row>
    <row r="91" spans="1:21" ht="30" customHeight="1" x14ac:dyDescent="0.25">
      <c r="A91" s="4">
        <v>90</v>
      </c>
      <c r="B91" s="5" t="s">
        <v>29</v>
      </c>
      <c r="C91" s="5" t="s">
        <v>8</v>
      </c>
      <c r="D91" s="5" t="s">
        <v>43</v>
      </c>
      <c r="E91" s="5" t="s">
        <v>12</v>
      </c>
      <c r="F91" s="6">
        <v>10</v>
      </c>
      <c r="G91" s="7"/>
      <c r="H91" s="7">
        <v>46252</v>
      </c>
      <c r="I91" s="7">
        <v>46262</v>
      </c>
      <c r="U91" s="10"/>
    </row>
    <row r="92" spans="1:21" ht="30" customHeight="1" x14ac:dyDescent="0.25">
      <c r="A92" s="4">
        <v>91</v>
      </c>
      <c r="B92" s="5" t="s">
        <v>29</v>
      </c>
      <c r="C92" s="5" t="s">
        <v>8</v>
      </c>
      <c r="D92" s="5" t="s">
        <v>43</v>
      </c>
      <c r="E92" s="5" t="s">
        <v>14</v>
      </c>
      <c r="F92" s="6">
        <v>2</v>
      </c>
      <c r="G92" s="7"/>
      <c r="H92" s="7">
        <v>46263</v>
      </c>
      <c r="I92" s="7">
        <v>46265</v>
      </c>
      <c r="U92" s="10"/>
    </row>
    <row r="93" spans="1:21" ht="30" customHeight="1" x14ac:dyDescent="0.25">
      <c r="A93" s="4">
        <v>92</v>
      </c>
      <c r="B93" s="5" t="s">
        <v>29</v>
      </c>
      <c r="C93" s="5" t="s">
        <v>8</v>
      </c>
      <c r="D93" s="5" t="s">
        <v>43</v>
      </c>
      <c r="E93" s="5" t="s">
        <v>15</v>
      </c>
      <c r="F93" s="6">
        <v>2</v>
      </c>
      <c r="G93" s="7"/>
      <c r="H93" s="7">
        <v>46266</v>
      </c>
      <c r="I93" s="7">
        <v>46268</v>
      </c>
      <c r="U93" s="10"/>
    </row>
    <row r="94" spans="1:21" ht="30" customHeight="1" x14ac:dyDescent="0.25">
      <c r="A94" s="4">
        <v>93</v>
      </c>
      <c r="B94" s="5" t="s">
        <v>29</v>
      </c>
      <c r="C94" s="5" t="s">
        <v>8</v>
      </c>
      <c r="D94" s="5" t="s">
        <v>43</v>
      </c>
      <c r="E94" s="5" t="s">
        <v>16</v>
      </c>
      <c r="F94" s="6">
        <v>2</v>
      </c>
      <c r="G94" s="7"/>
      <c r="H94" s="7">
        <v>46269</v>
      </c>
      <c r="I94" s="7">
        <v>46271</v>
      </c>
      <c r="U94" s="10"/>
    </row>
    <row r="95" spans="1:21" ht="30" customHeight="1" x14ac:dyDescent="0.25">
      <c r="A95" s="4">
        <v>94</v>
      </c>
      <c r="B95" s="5" t="s">
        <v>21</v>
      </c>
      <c r="C95" s="5" t="s">
        <v>8</v>
      </c>
      <c r="D95" s="5" t="s">
        <v>44</v>
      </c>
      <c r="E95" s="5" t="s">
        <v>12</v>
      </c>
      <c r="F95" s="6">
        <v>16</v>
      </c>
      <c r="G95" s="7"/>
      <c r="H95" s="7">
        <v>46258</v>
      </c>
      <c r="I95" s="7">
        <v>46274</v>
      </c>
      <c r="U95" s="10"/>
    </row>
    <row r="96" spans="1:21" ht="30" customHeight="1" x14ac:dyDescent="0.25">
      <c r="A96" s="4">
        <v>95</v>
      </c>
      <c r="B96" s="5" t="s">
        <v>21</v>
      </c>
      <c r="C96" s="5" t="s">
        <v>8</v>
      </c>
      <c r="D96" s="5" t="s">
        <v>44</v>
      </c>
      <c r="E96" s="5" t="s">
        <v>14</v>
      </c>
      <c r="F96" s="6">
        <v>3</v>
      </c>
      <c r="G96" s="7"/>
      <c r="H96" s="7">
        <v>46275</v>
      </c>
      <c r="I96" s="7">
        <v>46278</v>
      </c>
      <c r="U96" s="10"/>
    </row>
    <row r="97" spans="1:21" ht="30" customHeight="1" x14ac:dyDescent="0.25">
      <c r="A97" s="4">
        <v>96</v>
      </c>
      <c r="B97" s="5" t="s">
        <v>21</v>
      </c>
      <c r="C97" s="5" t="s">
        <v>8</v>
      </c>
      <c r="D97" s="5" t="s">
        <v>44</v>
      </c>
      <c r="E97" s="5" t="s">
        <v>15</v>
      </c>
      <c r="F97" s="6">
        <v>4</v>
      </c>
      <c r="G97" s="7"/>
      <c r="H97" s="7">
        <v>46279</v>
      </c>
      <c r="I97" s="7">
        <v>46283</v>
      </c>
      <c r="U97" s="10"/>
    </row>
    <row r="98" spans="1:21" ht="30" customHeight="1" x14ac:dyDescent="0.25">
      <c r="A98" s="4">
        <v>97</v>
      </c>
      <c r="B98" s="5" t="s">
        <v>21</v>
      </c>
      <c r="C98" s="5" t="s">
        <v>8</v>
      </c>
      <c r="D98" s="5" t="s">
        <v>44</v>
      </c>
      <c r="E98" s="5" t="s">
        <v>16</v>
      </c>
      <c r="F98" s="6">
        <v>3</v>
      </c>
      <c r="G98" s="7"/>
      <c r="H98" s="7">
        <v>46284</v>
      </c>
      <c r="I98" s="7">
        <v>46287</v>
      </c>
      <c r="U98" s="10"/>
    </row>
    <row r="99" spans="1:21" ht="30" customHeight="1" x14ac:dyDescent="0.25">
      <c r="A99" s="4">
        <v>98</v>
      </c>
      <c r="B99" s="5" t="s">
        <v>21</v>
      </c>
      <c r="C99" s="5" t="s">
        <v>8</v>
      </c>
      <c r="D99" s="5" t="s">
        <v>45</v>
      </c>
      <c r="E99" s="5" t="s">
        <v>12</v>
      </c>
      <c r="F99" s="6">
        <v>9</v>
      </c>
      <c r="G99" s="7"/>
      <c r="H99" s="7">
        <v>46258</v>
      </c>
      <c r="I99" s="7">
        <v>46267</v>
      </c>
      <c r="U99" s="10"/>
    </row>
    <row r="100" spans="1:21" ht="30" customHeight="1" x14ac:dyDescent="0.25">
      <c r="A100" s="4">
        <v>99</v>
      </c>
      <c r="B100" s="5" t="s">
        <v>21</v>
      </c>
      <c r="C100" s="5" t="s">
        <v>8</v>
      </c>
      <c r="D100" s="5" t="s">
        <v>45</v>
      </c>
      <c r="E100" s="5" t="s">
        <v>14</v>
      </c>
      <c r="F100" s="6">
        <v>2</v>
      </c>
      <c r="G100" s="7"/>
      <c r="H100" s="7">
        <v>46268</v>
      </c>
      <c r="I100" s="7">
        <v>46270</v>
      </c>
      <c r="U100" s="10"/>
    </row>
    <row r="101" spans="1:21" ht="30" customHeight="1" x14ac:dyDescent="0.25">
      <c r="A101" s="4">
        <v>100</v>
      </c>
      <c r="B101" s="5" t="s">
        <v>21</v>
      </c>
      <c r="C101" s="5" t="s">
        <v>8</v>
      </c>
      <c r="D101" s="5" t="s">
        <v>45</v>
      </c>
      <c r="E101" s="5" t="s">
        <v>15</v>
      </c>
      <c r="F101" s="6">
        <v>2</v>
      </c>
      <c r="G101" s="7"/>
      <c r="H101" s="7">
        <v>46271</v>
      </c>
      <c r="I101" s="7">
        <v>46273</v>
      </c>
      <c r="U101" s="10"/>
    </row>
    <row r="102" spans="1:21" ht="30" customHeight="1" x14ac:dyDescent="0.25">
      <c r="A102" s="4">
        <v>101</v>
      </c>
      <c r="B102" s="5" t="s">
        <v>21</v>
      </c>
      <c r="C102" s="5" t="s">
        <v>8</v>
      </c>
      <c r="D102" s="5" t="s">
        <v>45</v>
      </c>
      <c r="E102" s="5" t="s">
        <v>16</v>
      </c>
      <c r="F102" s="6">
        <v>2</v>
      </c>
      <c r="G102" s="7"/>
      <c r="H102" s="7">
        <v>46274</v>
      </c>
      <c r="I102" s="7">
        <v>46276</v>
      </c>
      <c r="U102" s="10"/>
    </row>
    <row r="103" spans="1:21" ht="30" customHeight="1" x14ac:dyDescent="0.25">
      <c r="A103" s="4">
        <v>102</v>
      </c>
      <c r="B103" s="5" t="s">
        <v>46</v>
      </c>
      <c r="C103" s="5" t="s">
        <v>47</v>
      </c>
      <c r="D103" s="5" t="s">
        <v>48</v>
      </c>
      <c r="E103" s="5" t="s">
        <v>12</v>
      </c>
      <c r="F103" s="6">
        <v>2</v>
      </c>
      <c r="G103" s="7"/>
      <c r="H103" s="7">
        <v>46230</v>
      </c>
      <c r="I103" s="7">
        <f>H103+F103</f>
        <v>46232</v>
      </c>
      <c r="U103" s="10"/>
    </row>
    <row r="104" spans="1:21" ht="30" customHeight="1" x14ac:dyDescent="0.25">
      <c r="A104" s="4">
        <v>103</v>
      </c>
      <c r="B104" s="5" t="s">
        <v>46</v>
      </c>
      <c r="C104" s="5" t="s">
        <v>47</v>
      </c>
      <c r="D104" s="5" t="s">
        <v>49</v>
      </c>
      <c r="E104" s="5" t="s">
        <v>12</v>
      </c>
      <c r="F104" s="6">
        <v>2</v>
      </c>
      <c r="G104" s="7"/>
      <c r="H104" s="7">
        <f>I103+1</f>
        <v>46233</v>
      </c>
      <c r="I104" s="7">
        <f t="shared" ref="I104:I155" si="3">H104+F104</f>
        <v>46235</v>
      </c>
      <c r="U104" s="10"/>
    </row>
    <row r="105" spans="1:21" ht="30" customHeight="1" x14ac:dyDescent="0.25">
      <c r="A105" s="4">
        <v>104</v>
      </c>
      <c r="B105" s="5" t="s">
        <v>46</v>
      </c>
      <c r="C105" s="5" t="s">
        <v>47</v>
      </c>
      <c r="D105" s="5" t="s">
        <v>50</v>
      </c>
      <c r="E105" s="5" t="s">
        <v>12</v>
      </c>
      <c r="F105" s="6">
        <v>2</v>
      </c>
      <c r="G105" s="7"/>
      <c r="H105" s="7">
        <f>I104+2</f>
        <v>46237</v>
      </c>
      <c r="I105" s="7">
        <f t="shared" si="3"/>
        <v>46239</v>
      </c>
      <c r="U105" s="10"/>
    </row>
    <row r="106" spans="1:21" ht="30" customHeight="1" x14ac:dyDescent="0.25">
      <c r="A106" s="4">
        <v>105</v>
      </c>
      <c r="B106" s="5" t="s">
        <v>46</v>
      </c>
      <c r="C106" s="5" t="s">
        <v>47</v>
      </c>
      <c r="D106" s="5" t="s">
        <v>51</v>
      </c>
      <c r="E106" s="5" t="s">
        <v>12</v>
      </c>
      <c r="F106" s="6">
        <v>2</v>
      </c>
      <c r="G106" s="7"/>
      <c r="H106" s="7">
        <f>I105+1</f>
        <v>46240</v>
      </c>
      <c r="I106" s="7">
        <f t="shared" si="3"/>
        <v>46242</v>
      </c>
      <c r="U106" s="10"/>
    </row>
    <row r="107" spans="1:21" ht="30" customHeight="1" x14ac:dyDescent="0.25">
      <c r="A107" s="4">
        <v>106</v>
      </c>
      <c r="B107" s="5" t="s">
        <v>46</v>
      </c>
      <c r="C107" s="5" t="s">
        <v>47</v>
      </c>
      <c r="D107" s="5" t="s">
        <v>52</v>
      </c>
      <c r="E107" s="5" t="s">
        <v>12</v>
      </c>
      <c r="F107" s="6">
        <v>2</v>
      </c>
      <c r="G107" s="7"/>
      <c r="H107" s="7">
        <f>I106+2</f>
        <v>46244</v>
      </c>
      <c r="I107" s="7">
        <f t="shared" si="3"/>
        <v>46246</v>
      </c>
      <c r="U107" s="10"/>
    </row>
    <row r="108" spans="1:21" ht="30" customHeight="1" x14ac:dyDescent="0.25">
      <c r="A108" s="4">
        <v>107</v>
      </c>
      <c r="B108" s="5" t="s">
        <v>46</v>
      </c>
      <c r="C108" s="5" t="s">
        <v>47</v>
      </c>
      <c r="D108" s="5" t="s">
        <v>53</v>
      </c>
      <c r="E108" s="5" t="s">
        <v>12</v>
      </c>
      <c r="F108" s="6">
        <v>2</v>
      </c>
      <c r="G108" s="7"/>
      <c r="H108" s="7">
        <f t="shared" ref="H108" si="4">I107+1</f>
        <v>46247</v>
      </c>
      <c r="I108" s="7">
        <f t="shared" si="3"/>
        <v>46249</v>
      </c>
      <c r="U108" s="10"/>
    </row>
    <row r="109" spans="1:21" ht="30" customHeight="1" x14ac:dyDescent="0.25">
      <c r="A109" s="4">
        <v>108</v>
      </c>
      <c r="B109" s="5" t="s">
        <v>46</v>
      </c>
      <c r="C109" s="5" t="s">
        <v>47</v>
      </c>
      <c r="D109" s="5" t="s">
        <v>54</v>
      </c>
      <c r="E109" s="5" t="s">
        <v>16</v>
      </c>
      <c r="F109" s="6">
        <v>2</v>
      </c>
      <c r="G109" s="7"/>
      <c r="H109" s="7">
        <f>I108+2</f>
        <v>46251</v>
      </c>
      <c r="I109" s="7">
        <f t="shared" si="3"/>
        <v>46253</v>
      </c>
      <c r="U109" s="10"/>
    </row>
    <row r="110" spans="1:21" ht="30" customHeight="1" x14ac:dyDescent="0.25">
      <c r="A110" s="4">
        <v>109</v>
      </c>
      <c r="B110" s="5" t="s">
        <v>10</v>
      </c>
      <c r="C110" s="12" t="s">
        <v>55</v>
      </c>
      <c r="D110" s="5" t="s">
        <v>56</v>
      </c>
      <c r="E110" s="5" t="s">
        <v>12</v>
      </c>
      <c r="F110" s="13">
        <v>8</v>
      </c>
      <c r="G110" s="7">
        <v>46156</v>
      </c>
      <c r="H110" s="7">
        <f>G110+75</f>
        <v>46231</v>
      </c>
      <c r="I110" s="7">
        <f t="shared" si="3"/>
        <v>46239</v>
      </c>
      <c r="J110" s="4" t="s">
        <v>13</v>
      </c>
      <c r="K110" s="4" t="str">
        <f t="shared" si="1"/>
        <v>DRY FILM LAMINATOR-INSTALLATION</v>
      </c>
      <c r="L110" s="4" t="str">
        <f t="shared" si="2"/>
        <v>DYNACHEM-DRY FILM LAMINATOR</v>
      </c>
      <c r="P110" s="4"/>
      <c r="Q110" s="4"/>
      <c r="R110" s="14">
        <f>G110+S1</f>
        <v>46161</v>
      </c>
      <c r="T110" s="4">
        <f>I111-H110</f>
        <v>11</v>
      </c>
      <c r="U110" s="10"/>
    </row>
    <row r="111" spans="1:21" ht="30" customHeight="1" x14ac:dyDescent="0.25">
      <c r="A111" s="4">
        <v>110</v>
      </c>
      <c r="B111" s="5" t="str">
        <f>B110</f>
        <v>IMAGING</v>
      </c>
      <c r="C111" s="12" t="str">
        <f>C110</f>
        <v>DYNACHEM</v>
      </c>
      <c r="D111" s="5" t="str">
        <f>D110</f>
        <v>DRY FILM LAMINATOR</v>
      </c>
      <c r="E111" s="5" t="s">
        <v>16</v>
      </c>
      <c r="F111" s="13">
        <v>3</v>
      </c>
      <c r="G111" s="7">
        <v>46164</v>
      </c>
      <c r="H111" s="7">
        <f>I110</f>
        <v>46239</v>
      </c>
      <c r="I111" s="7">
        <f t="shared" si="3"/>
        <v>46242</v>
      </c>
      <c r="J111" s="4" t="s">
        <v>13</v>
      </c>
      <c r="K111" s="4" t="str">
        <f t="shared" si="1"/>
        <v>DRY FILM LAMINATOR-TRAINING</v>
      </c>
      <c r="L111" s="4" t="str">
        <f t="shared" si="2"/>
        <v>DYNACHEM-DRY FILM LAMINATOR</v>
      </c>
      <c r="P111" s="4"/>
      <c r="Q111" s="4"/>
      <c r="U111" s="10"/>
    </row>
    <row r="112" spans="1:21" ht="30" customHeight="1" x14ac:dyDescent="0.25">
      <c r="A112" s="4">
        <v>111</v>
      </c>
      <c r="B112" s="5" t="s">
        <v>10</v>
      </c>
      <c r="C112" s="12" t="s">
        <v>57</v>
      </c>
      <c r="D112" s="5" t="s">
        <v>58</v>
      </c>
      <c r="E112" s="5" t="s">
        <v>12</v>
      </c>
      <c r="F112" s="13">
        <v>8</v>
      </c>
      <c r="G112" s="7">
        <v>46172</v>
      </c>
      <c r="H112" s="7">
        <v>46251</v>
      </c>
      <c r="I112" s="7">
        <f t="shared" si="3"/>
        <v>46259</v>
      </c>
      <c r="J112" s="4" t="s">
        <v>13</v>
      </c>
      <c r="K112" s="4" t="str">
        <f t="shared" si="1"/>
        <v xml:space="preserve">  ALTIX-INSTALLATION</v>
      </c>
      <c r="L112" s="4" t="str">
        <f t="shared" si="2"/>
        <v>ALTIX-  ALTIX</v>
      </c>
      <c r="P112" s="4"/>
      <c r="Q112" s="4"/>
      <c r="T112" s="4">
        <f>I113-H112</f>
        <v>11</v>
      </c>
      <c r="U112" s="10"/>
    </row>
    <row r="113" spans="1:21" ht="30" customHeight="1" x14ac:dyDescent="0.25">
      <c r="A113" s="4">
        <v>112</v>
      </c>
      <c r="B113" s="5" t="str">
        <f>B112</f>
        <v>IMAGING</v>
      </c>
      <c r="C113" s="12" t="str">
        <f>C112</f>
        <v>ALTIX</v>
      </c>
      <c r="D113" s="5" t="str">
        <f>D112</f>
        <v xml:space="preserve">  ALTIX</v>
      </c>
      <c r="E113" s="5" t="s">
        <v>16</v>
      </c>
      <c r="F113" s="13">
        <v>3</v>
      </c>
      <c r="G113" s="7">
        <v>46180</v>
      </c>
      <c r="H113" s="7">
        <f>I112</f>
        <v>46259</v>
      </c>
      <c r="I113" s="7">
        <f t="shared" si="3"/>
        <v>46262</v>
      </c>
      <c r="J113" s="4" t="s">
        <v>13</v>
      </c>
      <c r="K113" s="4" t="str">
        <f t="shared" si="1"/>
        <v xml:space="preserve">  ALTIX-TRAINING</v>
      </c>
      <c r="L113" s="4" t="str">
        <f t="shared" si="2"/>
        <v>ALTIX-  ALTIX</v>
      </c>
      <c r="P113" s="4"/>
      <c r="Q113" s="4"/>
      <c r="U113" s="10"/>
    </row>
    <row r="114" spans="1:21" ht="30" customHeight="1" x14ac:dyDescent="0.25">
      <c r="A114" s="4">
        <v>113</v>
      </c>
      <c r="B114" s="5" t="s">
        <v>10</v>
      </c>
      <c r="C114" s="12" t="s">
        <v>59</v>
      </c>
      <c r="D114" s="5" t="s">
        <v>60</v>
      </c>
      <c r="E114" s="5" t="s">
        <v>12</v>
      </c>
      <c r="F114" s="13">
        <v>5</v>
      </c>
      <c r="G114" s="7">
        <v>46160</v>
      </c>
      <c r="H114" s="7">
        <f>G114+75</f>
        <v>46235</v>
      </c>
      <c r="I114" s="7">
        <f t="shared" si="3"/>
        <v>46240</v>
      </c>
      <c r="J114" s="4" t="s">
        <v>13</v>
      </c>
      <c r="K114" s="4" t="str">
        <f t="shared" si="1"/>
        <v xml:space="preserve">  MDI-INSTALLATION</v>
      </c>
      <c r="L114" s="4" t="str">
        <f t="shared" si="2"/>
        <v>SCHMOLL-  MDI</v>
      </c>
      <c r="P114" s="4"/>
      <c r="Q114" s="4"/>
      <c r="U114" s="10"/>
    </row>
    <row r="115" spans="1:21" ht="30" customHeight="1" x14ac:dyDescent="0.25">
      <c r="A115" s="4">
        <v>114</v>
      </c>
      <c r="B115" s="5" t="str">
        <f>B114</f>
        <v>IMAGING</v>
      </c>
      <c r="C115" s="12" t="str">
        <f>C114</f>
        <v>SCHMOLL</v>
      </c>
      <c r="D115" s="5" t="str">
        <f>D114</f>
        <v xml:space="preserve">  MDI</v>
      </c>
      <c r="E115" s="5" t="s">
        <v>16</v>
      </c>
      <c r="F115" s="13">
        <v>3</v>
      </c>
      <c r="G115" s="7">
        <v>46168</v>
      </c>
      <c r="H115" s="7">
        <f>I114</f>
        <v>46240</v>
      </c>
      <c r="I115" s="7">
        <f t="shared" si="3"/>
        <v>46243</v>
      </c>
      <c r="J115" s="4" t="s">
        <v>13</v>
      </c>
      <c r="K115" s="4" t="str">
        <f t="shared" si="1"/>
        <v xml:space="preserve">  MDI-TRAINING</v>
      </c>
      <c r="L115" s="4" t="str">
        <f t="shared" si="2"/>
        <v>SCHMOLL-  MDI</v>
      </c>
      <c r="P115" s="4"/>
      <c r="Q115" s="14"/>
      <c r="U115" s="10"/>
    </row>
    <row r="116" spans="1:21" ht="30" customHeight="1" x14ac:dyDescent="0.25">
      <c r="A116" s="4">
        <v>115</v>
      </c>
      <c r="B116" s="5" t="s">
        <v>18</v>
      </c>
      <c r="C116" s="12" t="s">
        <v>61</v>
      </c>
      <c r="D116" s="5" t="s">
        <v>62</v>
      </c>
      <c r="E116" s="5" t="s">
        <v>12</v>
      </c>
      <c r="F116" s="13">
        <v>5</v>
      </c>
      <c r="G116" s="7">
        <v>46157</v>
      </c>
      <c r="H116" s="7">
        <f>G116+95</f>
        <v>46252</v>
      </c>
      <c r="I116" s="7">
        <f t="shared" si="3"/>
        <v>46257</v>
      </c>
      <c r="J116" s="4" t="s">
        <v>13</v>
      </c>
      <c r="K116" s="4" t="str">
        <f t="shared" si="1"/>
        <v>SCREEN MAKING EQUIPMENT-INSTALLATION</v>
      </c>
      <c r="L116" s="4" t="str">
        <f t="shared" si="2"/>
        <v>KEWEI-SCREEN MAKING EQUIPMENT</v>
      </c>
      <c r="P116" s="4"/>
      <c r="Q116" s="4"/>
      <c r="U116" s="10"/>
    </row>
    <row r="117" spans="1:21" ht="30" customHeight="1" x14ac:dyDescent="0.25">
      <c r="A117" s="4">
        <v>116</v>
      </c>
      <c r="B117" s="5" t="str">
        <f>B116</f>
        <v>SOLDERMASK</v>
      </c>
      <c r="C117" s="12" t="str">
        <f>C116</f>
        <v>KEWEI</v>
      </c>
      <c r="D117" s="5" t="str">
        <f>D116</f>
        <v>SCREEN MAKING EQUIPMENT</v>
      </c>
      <c r="E117" s="5" t="s">
        <v>16</v>
      </c>
      <c r="F117" s="13">
        <v>3</v>
      </c>
      <c r="G117" s="7">
        <v>46162</v>
      </c>
      <c r="H117" s="7">
        <f>I116</f>
        <v>46257</v>
      </c>
      <c r="I117" s="7">
        <f t="shared" si="3"/>
        <v>46260</v>
      </c>
      <c r="J117" s="4" t="s">
        <v>13</v>
      </c>
      <c r="K117" s="4" t="str">
        <f t="shared" si="1"/>
        <v>SCREEN MAKING EQUIPMENT-TRAINING</v>
      </c>
      <c r="L117" s="4" t="str">
        <f t="shared" si="2"/>
        <v>KEWEI-SCREEN MAKING EQUIPMENT</v>
      </c>
      <c r="P117" s="4"/>
      <c r="Q117" s="4"/>
      <c r="U117" s="10"/>
    </row>
    <row r="118" spans="1:21" ht="30" customHeight="1" x14ac:dyDescent="0.25">
      <c r="A118" s="4">
        <v>117</v>
      </c>
      <c r="B118" s="5" t="s">
        <v>18</v>
      </c>
      <c r="C118" s="12" t="s">
        <v>63</v>
      </c>
      <c r="D118" s="5" t="s">
        <v>64</v>
      </c>
      <c r="E118" s="5" t="s">
        <v>12</v>
      </c>
      <c r="F118" s="13">
        <v>3</v>
      </c>
      <c r="G118" s="7">
        <v>46167</v>
      </c>
      <c r="H118" s="7">
        <v>46254</v>
      </c>
      <c r="I118" s="7">
        <f t="shared" si="3"/>
        <v>46257</v>
      </c>
      <c r="J118" s="4" t="s">
        <v>13</v>
      </c>
      <c r="K118" s="4" t="str">
        <f t="shared" si="1"/>
        <v>SM PRINTING -INSTALLATION</v>
      </c>
      <c r="L118" s="4" t="str">
        <f t="shared" si="2"/>
        <v xml:space="preserve">TAIYO-SM PRINTING </v>
      </c>
      <c r="P118" s="4"/>
      <c r="Q118" s="4"/>
      <c r="U118" s="10"/>
    </row>
    <row r="119" spans="1:21" ht="30" customHeight="1" x14ac:dyDescent="0.25">
      <c r="A119" s="4">
        <v>118</v>
      </c>
      <c r="B119" s="5" t="str">
        <f>B118</f>
        <v>SOLDERMASK</v>
      </c>
      <c r="C119" s="12" t="str">
        <f>C118</f>
        <v>TAIYO</v>
      </c>
      <c r="D119" s="5" t="str">
        <f>D118</f>
        <v xml:space="preserve">SM PRINTING </v>
      </c>
      <c r="E119" s="5" t="s">
        <v>16</v>
      </c>
      <c r="F119" s="13">
        <v>2</v>
      </c>
      <c r="G119" s="7">
        <v>46169</v>
      </c>
      <c r="H119" s="7">
        <f>I118</f>
        <v>46257</v>
      </c>
      <c r="I119" s="7">
        <f t="shared" si="3"/>
        <v>46259</v>
      </c>
      <c r="J119" s="4" t="s">
        <v>13</v>
      </c>
      <c r="K119" s="4" t="str">
        <f t="shared" si="1"/>
        <v>SM PRINTING -TRAINING</v>
      </c>
      <c r="L119" s="4" t="str">
        <f t="shared" si="2"/>
        <v xml:space="preserve">TAIYO-SM PRINTING </v>
      </c>
      <c r="P119" s="4"/>
      <c r="Q119" s="4"/>
      <c r="U119" s="10"/>
    </row>
    <row r="120" spans="1:21" ht="30" customHeight="1" x14ac:dyDescent="0.25">
      <c r="A120" s="4">
        <v>119</v>
      </c>
      <c r="B120" s="5" t="s">
        <v>18</v>
      </c>
      <c r="C120" s="12" t="s">
        <v>65</v>
      </c>
      <c r="D120" s="5" t="s">
        <v>66</v>
      </c>
      <c r="E120" s="5" t="s">
        <v>12</v>
      </c>
      <c r="F120" s="13">
        <v>4</v>
      </c>
      <c r="G120" s="7">
        <v>46168</v>
      </c>
      <c r="H120" s="7">
        <f>G120+85</f>
        <v>46253</v>
      </c>
      <c r="I120" s="7">
        <f t="shared" si="3"/>
        <v>46257</v>
      </c>
      <c r="J120" s="4" t="s">
        <v>13</v>
      </c>
      <c r="K120" s="4" t="str">
        <f t="shared" si="1"/>
        <v>TACK DRYING OVEN -INSTALLATION</v>
      </c>
      <c r="L120" s="4" t="str">
        <f t="shared" si="2"/>
        <v xml:space="preserve">GP-TACK DRYING OVEN </v>
      </c>
      <c r="P120" s="4"/>
      <c r="Q120" s="4"/>
      <c r="U120" s="10"/>
    </row>
    <row r="121" spans="1:21" ht="30" customHeight="1" x14ac:dyDescent="0.25">
      <c r="A121" s="4">
        <v>120</v>
      </c>
      <c r="B121" s="5" t="str">
        <f>B120</f>
        <v>SOLDERMASK</v>
      </c>
      <c r="C121" s="12" t="str">
        <f>C120</f>
        <v>GP</v>
      </c>
      <c r="D121" s="5" t="str">
        <f>D120</f>
        <v xml:space="preserve">TACK DRYING OVEN </v>
      </c>
      <c r="E121" s="5" t="s">
        <v>16</v>
      </c>
      <c r="F121" s="13">
        <v>2</v>
      </c>
      <c r="G121" s="7">
        <v>46169</v>
      </c>
      <c r="H121" s="7">
        <f>I120</f>
        <v>46257</v>
      </c>
      <c r="I121" s="7">
        <f t="shared" si="3"/>
        <v>46259</v>
      </c>
      <c r="J121" s="4" t="s">
        <v>13</v>
      </c>
      <c r="K121" s="4" t="str">
        <f t="shared" si="1"/>
        <v>TACK DRYING OVEN -TRAINING</v>
      </c>
      <c r="L121" s="4" t="str">
        <f t="shared" si="2"/>
        <v xml:space="preserve">GP-TACK DRYING OVEN </v>
      </c>
      <c r="P121" s="4"/>
      <c r="Q121" s="4"/>
      <c r="U121" s="10"/>
    </row>
    <row r="122" spans="1:21" ht="30" customHeight="1" x14ac:dyDescent="0.25">
      <c r="A122" s="4">
        <v>121</v>
      </c>
      <c r="B122" s="5" t="s">
        <v>18</v>
      </c>
      <c r="C122" s="12" t="s">
        <v>57</v>
      </c>
      <c r="D122" s="5" t="s">
        <v>67</v>
      </c>
      <c r="E122" s="5" t="s">
        <v>12</v>
      </c>
      <c r="F122" s="13">
        <v>6</v>
      </c>
      <c r="G122" s="7">
        <v>46180</v>
      </c>
      <c r="H122" s="7">
        <v>46263</v>
      </c>
      <c r="I122" s="7">
        <f t="shared" si="3"/>
        <v>46269</v>
      </c>
      <c r="J122" s="4" t="s">
        <v>13</v>
      </c>
      <c r="K122" s="4" t="str">
        <f t="shared" si="1"/>
        <v>ALTIX MACHINE EXPOSING  -INSTALLATION</v>
      </c>
      <c r="L122" s="4" t="str">
        <f t="shared" si="2"/>
        <v xml:space="preserve">ALTIX-ALTIX MACHINE EXPOSING  </v>
      </c>
      <c r="P122" s="4"/>
      <c r="Q122" s="4"/>
      <c r="U122" s="10"/>
    </row>
    <row r="123" spans="1:21" ht="30" customHeight="1" x14ac:dyDescent="0.25">
      <c r="A123" s="4">
        <v>122</v>
      </c>
      <c r="B123" s="5" t="str">
        <f>B122</f>
        <v>SOLDERMASK</v>
      </c>
      <c r="C123" s="12" t="str">
        <f>C122</f>
        <v>ALTIX</v>
      </c>
      <c r="D123" s="5" t="str">
        <f>D122</f>
        <v xml:space="preserve">ALTIX MACHINE EXPOSING  </v>
      </c>
      <c r="E123" s="5" t="s">
        <v>16</v>
      </c>
      <c r="F123" s="13">
        <v>3</v>
      </c>
      <c r="G123" s="7">
        <v>46186</v>
      </c>
      <c r="H123" s="7">
        <f>I122</f>
        <v>46269</v>
      </c>
      <c r="I123" s="7">
        <f t="shared" si="3"/>
        <v>46272</v>
      </c>
      <c r="J123" s="4" t="s">
        <v>13</v>
      </c>
      <c r="K123" s="4" t="str">
        <f t="shared" si="1"/>
        <v>ALTIX MACHINE EXPOSING  -TRAINING</v>
      </c>
      <c r="L123" s="4" t="str">
        <f t="shared" si="2"/>
        <v xml:space="preserve">ALTIX-ALTIX MACHINE EXPOSING  </v>
      </c>
      <c r="P123" s="4"/>
      <c r="Q123" s="4"/>
      <c r="U123" s="10"/>
    </row>
    <row r="124" spans="1:21" ht="30" customHeight="1" x14ac:dyDescent="0.25">
      <c r="A124" s="4">
        <v>123</v>
      </c>
      <c r="B124" s="5" t="s">
        <v>18</v>
      </c>
      <c r="C124" s="12" t="s">
        <v>59</v>
      </c>
      <c r="D124" s="5" t="s">
        <v>68</v>
      </c>
      <c r="E124" s="5" t="s">
        <v>12</v>
      </c>
      <c r="F124" s="13">
        <v>5</v>
      </c>
      <c r="G124" s="7">
        <v>46169</v>
      </c>
      <c r="H124" s="7">
        <v>46244</v>
      </c>
      <c r="I124" s="7">
        <f t="shared" si="3"/>
        <v>46249</v>
      </c>
      <c r="J124" s="4" t="s">
        <v>13</v>
      </c>
      <c r="K124" s="4" t="str">
        <f t="shared" si="1"/>
        <v>SCHMOLL MDI EXPOSING -INSTALLATION</v>
      </c>
      <c r="L124" s="4" t="str">
        <f t="shared" si="2"/>
        <v xml:space="preserve">SCHMOLL-SCHMOLL MDI EXPOSING </v>
      </c>
      <c r="P124" s="4"/>
      <c r="Q124" s="4"/>
      <c r="U124" s="10"/>
    </row>
    <row r="125" spans="1:21" ht="30" customHeight="1" x14ac:dyDescent="0.25">
      <c r="A125" s="4">
        <v>124</v>
      </c>
      <c r="B125" s="5" t="str">
        <f>B124</f>
        <v>SOLDERMASK</v>
      </c>
      <c r="C125" s="12" t="str">
        <f>C124</f>
        <v>SCHMOLL</v>
      </c>
      <c r="D125" s="5" t="str">
        <f>D124</f>
        <v xml:space="preserve">SCHMOLL MDI EXPOSING </v>
      </c>
      <c r="E125" s="5" t="s">
        <v>16</v>
      </c>
      <c r="F125" s="13">
        <v>3</v>
      </c>
      <c r="G125" s="7">
        <v>46175</v>
      </c>
      <c r="H125" s="7">
        <f>I124</f>
        <v>46249</v>
      </c>
      <c r="I125" s="7">
        <f t="shared" si="3"/>
        <v>46252</v>
      </c>
      <c r="J125" s="4" t="s">
        <v>13</v>
      </c>
      <c r="K125" s="4" t="str">
        <f t="shared" si="1"/>
        <v>SCHMOLL MDI EXPOSING -TRAINING</v>
      </c>
      <c r="L125" s="4" t="str">
        <f t="shared" si="2"/>
        <v xml:space="preserve">SCHMOLL-SCHMOLL MDI EXPOSING </v>
      </c>
      <c r="P125" s="4"/>
      <c r="Q125" s="4"/>
      <c r="U125" s="10"/>
    </row>
    <row r="126" spans="1:21" ht="30" customHeight="1" x14ac:dyDescent="0.25">
      <c r="A126" s="4">
        <v>125</v>
      </c>
      <c r="B126" s="5" t="s">
        <v>18</v>
      </c>
      <c r="C126" s="12" t="s">
        <v>65</v>
      </c>
      <c r="D126" s="5" t="s">
        <v>69</v>
      </c>
      <c r="E126" s="5" t="s">
        <v>12</v>
      </c>
      <c r="F126" s="13">
        <v>4</v>
      </c>
      <c r="G126" s="7">
        <v>46168</v>
      </c>
      <c r="H126" s="7">
        <f>I121+1</f>
        <v>46260</v>
      </c>
      <c r="I126" s="7">
        <f t="shared" si="3"/>
        <v>46264</v>
      </c>
      <c r="J126" s="4" t="s">
        <v>13</v>
      </c>
      <c r="K126" s="4" t="str">
        <f t="shared" si="1"/>
        <v>FINAL CURING OVENS-INSTALLATION</v>
      </c>
      <c r="L126" s="4" t="str">
        <f t="shared" si="2"/>
        <v>GP-FINAL CURING OVENS</v>
      </c>
      <c r="P126" s="4"/>
      <c r="Q126" s="4"/>
      <c r="U126" s="10"/>
    </row>
    <row r="127" spans="1:21" ht="30" customHeight="1" x14ac:dyDescent="0.25">
      <c r="A127" s="4">
        <v>126</v>
      </c>
      <c r="B127" s="5" t="str">
        <f>B126</f>
        <v>SOLDERMASK</v>
      </c>
      <c r="C127" s="12" t="str">
        <f>C126</f>
        <v>GP</v>
      </c>
      <c r="D127" s="5" t="str">
        <f>D126</f>
        <v>FINAL CURING OVENS</v>
      </c>
      <c r="E127" s="5" t="s">
        <v>16</v>
      </c>
      <c r="F127" s="13">
        <v>2</v>
      </c>
      <c r="G127" s="7">
        <v>46170</v>
      </c>
      <c r="H127" s="7">
        <f>I126</f>
        <v>46264</v>
      </c>
      <c r="I127" s="7">
        <f t="shared" si="3"/>
        <v>46266</v>
      </c>
      <c r="J127" s="4" t="s">
        <v>13</v>
      </c>
      <c r="K127" s="4" t="str">
        <f t="shared" si="1"/>
        <v>FINAL CURING OVENS-TRAINING</v>
      </c>
      <c r="L127" s="4" t="str">
        <f t="shared" si="2"/>
        <v>GP-FINAL CURING OVENS</v>
      </c>
      <c r="P127" s="4"/>
      <c r="Q127" s="4"/>
      <c r="U127" s="10"/>
    </row>
    <row r="128" spans="1:21" ht="30" customHeight="1" x14ac:dyDescent="0.25">
      <c r="A128" s="4">
        <v>127</v>
      </c>
      <c r="B128" s="5" t="s">
        <v>18</v>
      </c>
      <c r="C128" s="12" t="s">
        <v>61</v>
      </c>
      <c r="D128" s="5" t="s">
        <v>70</v>
      </c>
      <c r="E128" s="5" t="s">
        <v>12</v>
      </c>
      <c r="F128" s="13">
        <v>4</v>
      </c>
      <c r="G128" s="7">
        <v>46199</v>
      </c>
      <c r="H128" s="7">
        <v>46251</v>
      </c>
      <c r="I128" s="7">
        <f t="shared" si="3"/>
        <v>46255</v>
      </c>
      <c r="J128" s="4" t="s">
        <v>13</v>
      </c>
      <c r="K128" s="4" t="str">
        <f t="shared" ref="K128:K153" si="5">CONCATENATE(D128,J128,E128)</f>
        <v>LEGEND PRINTING - INKJET-INSTALLATION</v>
      </c>
      <c r="L128" s="4" t="str">
        <f t="shared" ref="L128:L153" si="6">CONCATENATE(C128,J128,D128)</f>
        <v>KEWEI-LEGEND PRINTING - INKJET</v>
      </c>
      <c r="P128" s="4"/>
      <c r="Q128" s="4"/>
      <c r="U128" s="10"/>
    </row>
    <row r="129" spans="1:21" ht="30" customHeight="1" x14ac:dyDescent="0.25">
      <c r="A129" s="4">
        <v>128</v>
      </c>
      <c r="B129" s="5" t="s">
        <v>18</v>
      </c>
      <c r="C129" s="12" t="s">
        <v>61</v>
      </c>
      <c r="D129" s="5" t="s">
        <v>70</v>
      </c>
      <c r="E129" s="5" t="s">
        <v>16</v>
      </c>
      <c r="F129" s="13">
        <v>3</v>
      </c>
      <c r="G129" s="7">
        <v>46201</v>
      </c>
      <c r="H129" s="7">
        <f>I128</f>
        <v>46255</v>
      </c>
      <c r="I129" s="7">
        <f t="shared" si="3"/>
        <v>46258</v>
      </c>
      <c r="J129" s="4" t="s">
        <v>13</v>
      </c>
      <c r="K129" s="4" t="str">
        <f t="shared" si="5"/>
        <v>LEGEND PRINTING - INKJET-TRAINING</v>
      </c>
      <c r="L129" s="4" t="str">
        <f t="shared" si="6"/>
        <v>KEWEI-LEGEND PRINTING - INKJET</v>
      </c>
      <c r="P129" s="4"/>
      <c r="Q129" s="4"/>
      <c r="U129" s="10"/>
    </row>
    <row r="130" spans="1:21" ht="30" customHeight="1" x14ac:dyDescent="0.25">
      <c r="A130" s="4">
        <v>129</v>
      </c>
      <c r="B130" s="5" t="s">
        <v>18</v>
      </c>
      <c r="C130" s="12" t="s">
        <v>61</v>
      </c>
      <c r="D130" s="5" t="s">
        <v>71</v>
      </c>
      <c r="E130" s="5" t="s">
        <v>12</v>
      </c>
      <c r="F130" s="13">
        <v>4</v>
      </c>
      <c r="G130" s="7">
        <v>46199</v>
      </c>
      <c r="H130" s="7">
        <v>46251</v>
      </c>
      <c r="I130" s="7">
        <f t="shared" si="3"/>
        <v>46255</v>
      </c>
      <c r="J130" s="4" t="s">
        <v>13</v>
      </c>
      <c r="K130" s="4" t="str">
        <f t="shared" si="5"/>
        <v>LEGEND PRINTING - MANUAL-INSTALLATION</v>
      </c>
      <c r="L130" s="4" t="str">
        <f t="shared" si="6"/>
        <v>KEWEI-LEGEND PRINTING - MANUAL</v>
      </c>
      <c r="P130" s="4"/>
      <c r="Q130" s="4"/>
      <c r="U130" s="10"/>
    </row>
    <row r="131" spans="1:21" ht="30" customHeight="1" x14ac:dyDescent="0.25">
      <c r="A131" s="4">
        <v>130</v>
      </c>
      <c r="B131" s="5" t="str">
        <f>B130</f>
        <v>SOLDERMASK</v>
      </c>
      <c r="C131" s="12" t="s">
        <v>61</v>
      </c>
      <c r="D131" s="5" t="str">
        <f>D130</f>
        <v>LEGEND PRINTING - MANUAL</v>
      </c>
      <c r="E131" s="5" t="s">
        <v>16</v>
      </c>
      <c r="F131" s="13">
        <v>3</v>
      </c>
      <c r="G131" s="7">
        <v>46200</v>
      </c>
      <c r="H131" s="7">
        <f>I130+20</f>
        <v>46275</v>
      </c>
      <c r="I131" s="7">
        <f t="shared" si="3"/>
        <v>46278</v>
      </c>
      <c r="J131" s="4" t="s">
        <v>13</v>
      </c>
      <c r="K131" s="4" t="str">
        <f t="shared" si="5"/>
        <v>LEGEND PRINTING - MANUAL-TRAINING</v>
      </c>
      <c r="L131" s="4" t="str">
        <f t="shared" si="6"/>
        <v>KEWEI-LEGEND PRINTING - MANUAL</v>
      </c>
      <c r="P131" s="4"/>
      <c r="Q131" s="4"/>
      <c r="U131" s="10"/>
    </row>
    <row r="132" spans="1:21" ht="30" customHeight="1" x14ac:dyDescent="0.25">
      <c r="A132" s="4">
        <v>131</v>
      </c>
      <c r="B132" s="5" t="s">
        <v>21</v>
      </c>
      <c r="C132" s="12" t="s">
        <v>72</v>
      </c>
      <c r="D132" s="15" t="s">
        <v>73</v>
      </c>
      <c r="E132" s="5" t="s">
        <v>12</v>
      </c>
      <c r="F132" s="13">
        <v>24</v>
      </c>
      <c r="G132" s="7">
        <v>46167</v>
      </c>
      <c r="H132" s="7">
        <v>46203</v>
      </c>
      <c r="I132" s="7">
        <f t="shared" si="3"/>
        <v>46227</v>
      </c>
      <c r="J132" s="4" t="s">
        <v>13</v>
      </c>
      <c r="K132" s="4" t="str">
        <f t="shared" si="5"/>
        <v>LAUFFER PRESS-INSTALLATION</v>
      </c>
      <c r="L132" s="4" t="str">
        <f t="shared" si="6"/>
        <v>LAUFFER-LAUFFER PRESS</v>
      </c>
      <c r="P132" s="4"/>
      <c r="Q132" s="4"/>
      <c r="U132" s="10"/>
    </row>
    <row r="133" spans="1:21" ht="30" customHeight="1" x14ac:dyDescent="0.25">
      <c r="A133" s="4">
        <v>132</v>
      </c>
      <c r="B133" s="5" t="str">
        <f>B132</f>
        <v>ML PRESSING</v>
      </c>
      <c r="C133" s="12" t="str">
        <f>C132</f>
        <v>LAUFFER</v>
      </c>
      <c r="D133" s="5" t="str">
        <f>D132</f>
        <v>LAUFFER PRESS</v>
      </c>
      <c r="E133" s="5" t="s">
        <v>16</v>
      </c>
      <c r="F133" s="13">
        <v>3</v>
      </c>
      <c r="G133" s="7">
        <v>46189</v>
      </c>
      <c r="H133" s="7">
        <f>I132</f>
        <v>46227</v>
      </c>
      <c r="I133" s="7">
        <f t="shared" si="3"/>
        <v>46230</v>
      </c>
      <c r="J133" s="4" t="s">
        <v>13</v>
      </c>
      <c r="K133" s="4" t="str">
        <f t="shared" si="5"/>
        <v>LAUFFER PRESS-TRAINING</v>
      </c>
      <c r="L133" s="4" t="str">
        <f t="shared" si="6"/>
        <v>LAUFFER-LAUFFER PRESS</v>
      </c>
      <c r="P133" s="4"/>
      <c r="Q133" s="4"/>
      <c r="U133" s="10"/>
    </row>
    <row r="134" spans="1:21" ht="30" customHeight="1" x14ac:dyDescent="0.25">
      <c r="A134" s="4">
        <v>133</v>
      </c>
      <c r="B134" s="5" t="s">
        <v>74</v>
      </c>
      <c r="C134" s="12" t="s">
        <v>59</v>
      </c>
      <c r="D134" s="15" t="s">
        <v>75</v>
      </c>
      <c r="E134" s="5" t="s">
        <v>12</v>
      </c>
      <c r="F134" s="13">
        <v>2</v>
      </c>
      <c r="G134" s="7">
        <v>46156</v>
      </c>
      <c r="H134" s="7">
        <f>G134+75</f>
        <v>46231</v>
      </c>
      <c r="I134" s="7">
        <f t="shared" si="3"/>
        <v>46233</v>
      </c>
      <c r="J134" s="4" t="s">
        <v>13</v>
      </c>
      <c r="K134" s="4" t="str">
        <f t="shared" si="5"/>
        <v>CNC DRILLING-1-INSTALLATION</v>
      </c>
      <c r="L134" s="4" t="str">
        <f t="shared" si="6"/>
        <v>SCHMOLL-CNC DRILLING-1</v>
      </c>
      <c r="P134" s="4"/>
      <c r="Q134" s="4"/>
      <c r="U134" s="10"/>
    </row>
    <row r="135" spans="1:21" ht="30" customHeight="1" x14ac:dyDescent="0.25">
      <c r="A135" s="4">
        <v>134</v>
      </c>
      <c r="B135" s="5" t="s">
        <v>74</v>
      </c>
      <c r="C135" s="12" t="s">
        <v>59</v>
      </c>
      <c r="D135" s="15" t="s">
        <v>76</v>
      </c>
      <c r="E135" s="5" t="s">
        <v>12</v>
      </c>
      <c r="F135" s="13">
        <v>2</v>
      </c>
      <c r="G135" s="7">
        <v>46158</v>
      </c>
      <c r="H135" s="7">
        <f t="shared" ref="H135:H141" si="7">I134+1</f>
        <v>46234</v>
      </c>
      <c r="I135" s="7">
        <f t="shared" si="3"/>
        <v>46236</v>
      </c>
      <c r="J135" s="4" t="s">
        <v>13</v>
      </c>
      <c r="K135" s="4" t="str">
        <f t="shared" si="5"/>
        <v>CNC DRILLING-2-INSTALLATION</v>
      </c>
      <c r="L135" s="4" t="str">
        <f t="shared" si="6"/>
        <v>SCHMOLL-CNC DRILLING-2</v>
      </c>
      <c r="P135" s="4"/>
      <c r="Q135" s="4"/>
      <c r="U135" s="10"/>
    </row>
    <row r="136" spans="1:21" ht="30" customHeight="1" x14ac:dyDescent="0.25">
      <c r="A136" s="4">
        <v>135</v>
      </c>
      <c r="B136" s="5" t="s">
        <v>74</v>
      </c>
      <c r="C136" s="12" t="s">
        <v>59</v>
      </c>
      <c r="D136" s="15" t="s">
        <v>77</v>
      </c>
      <c r="E136" s="5" t="s">
        <v>12</v>
      </c>
      <c r="F136" s="13">
        <v>2</v>
      </c>
      <c r="G136" s="7">
        <v>46160</v>
      </c>
      <c r="H136" s="7">
        <f t="shared" si="7"/>
        <v>46237</v>
      </c>
      <c r="I136" s="7">
        <f t="shared" si="3"/>
        <v>46239</v>
      </c>
      <c r="J136" s="4" t="s">
        <v>13</v>
      </c>
      <c r="K136" s="4" t="str">
        <f t="shared" si="5"/>
        <v>CNC DRILLING-3-INSTALLATION</v>
      </c>
      <c r="L136" s="4" t="str">
        <f t="shared" si="6"/>
        <v>SCHMOLL-CNC DRILLING-3</v>
      </c>
      <c r="P136" s="4"/>
      <c r="Q136" s="4"/>
      <c r="U136" s="10"/>
    </row>
    <row r="137" spans="1:21" ht="30" customHeight="1" x14ac:dyDescent="0.25">
      <c r="A137" s="4">
        <v>136</v>
      </c>
      <c r="B137" s="5" t="s">
        <v>74</v>
      </c>
      <c r="C137" s="12" t="s">
        <v>59</v>
      </c>
      <c r="D137" s="15" t="s">
        <v>78</v>
      </c>
      <c r="E137" s="5" t="s">
        <v>12</v>
      </c>
      <c r="F137" s="13">
        <v>2</v>
      </c>
      <c r="G137" s="7">
        <v>46163</v>
      </c>
      <c r="H137" s="7">
        <f t="shared" si="7"/>
        <v>46240</v>
      </c>
      <c r="I137" s="7">
        <f t="shared" si="3"/>
        <v>46242</v>
      </c>
      <c r="J137" s="4" t="s">
        <v>13</v>
      </c>
      <c r="K137" s="4" t="str">
        <f t="shared" si="5"/>
        <v>CNC DRILLING-4-INSTALLATION</v>
      </c>
      <c r="L137" s="4" t="str">
        <f t="shared" si="6"/>
        <v>SCHMOLL-CNC DRILLING-4</v>
      </c>
      <c r="P137" s="4"/>
      <c r="Q137" s="4"/>
      <c r="U137" s="10"/>
    </row>
    <row r="138" spans="1:21" ht="30" customHeight="1" x14ac:dyDescent="0.25">
      <c r="A138" s="4">
        <v>137</v>
      </c>
      <c r="B138" s="5" t="s">
        <v>74</v>
      </c>
      <c r="C138" s="12" t="s">
        <v>59</v>
      </c>
      <c r="D138" s="15" t="s">
        <v>79</v>
      </c>
      <c r="E138" s="5" t="s">
        <v>12</v>
      </c>
      <c r="F138" s="13">
        <v>2</v>
      </c>
      <c r="G138" s="7">
        <v>46165</v>
      </c>
      <c r="H138" s="7">
        <f t="shared" si="7"/>
        <v>46243</v>
      </c>
      <c r="I138" s="7">
        <f t="shared" si="3"/>
        <v>46245</v>
      </c>
      <c r="J138" s="4" t="s">
        <v>13</v>
      </c>
      <c r="K138" s="4" t="str">
        <f t="shared" si="5"/>
        <v>CNC DRILLING-5-INSTALLATION</v>
      </c>
      <c r="L138" s="4" t="str">
        <f t="shared" si="6"/>
        <v>SCHMOLL-CNC DRILLING-5</v>
      </c>
      <c r="P138" s="4"/>
      <c r="Q138" s="4"/>
      <c r="U138" s="10"/>
    </row>
    <row r="139" spans="1:21" ht="30" customHeight="1" x14ac:dyDescent="0.25">
      <c r="A139" s="4">
        <v>138</v>
      </c>
      <c r="B139" s="5" t="s">
        <v>74</v>
      </c>
      <c r="C139" s="12" t="s">
        <v>59</v>
      </c>
      <c r="D139" s="15" t="s">
        <v>80</v>
      </c>
      <c r="E139" s="5" t="s">
        <v>12</v>
      </c>
      <c r="F139" s="13">
        <v>2</v>
      </c>
      <c r="G139" s="7">
        <v>46167</v>
      </c>
      <c r="H139" s="7">
        <f t="shared" si="7"/>
        <v>46246</v>
      </c>
      <c r="I139" s="7">
        <f t="shared" si="3"/>
        <v>46248</v>
      </c>
      <c r="J139" s="4" t="s">
        <v>13</v>
      </c>
      <c r="K139" s="4" t="str">
        <f t="shared" si="5"/>
        <v>CNC DRILLING-6-INSTALLATION</v>
      </c>
      <c r="L139" s="4" t="str">
        <f t="shared" si="6"/>
        <v>SCHMOLL-CNC DRILLING-6</v>
      </c>
      <c r="P139" s="4"/>
      <c r="Q139" s="4"/>
      <c r="U139" s="10"/>
    </row>
    <row r="140" spans="1:21" ht="30" customHeight="1" x14ac:dyDescent="0.25">
      <c r="A140" s="4">
        <v>139</v>
      </c>
      <c r="B140" s="5" t="s">
        <v>74</v>
      </c>
      <c r="C140" s="12" t="s">
        <v>59</v>
      </c>
      <c r="D140" s="15" t="s">
        <v>81</v>
      </c>
      <c r="E140" s="5" t="s">
        <v>12</v>
      </c>
      <c r="F140" s="13">
        <v>3</v>
      </c>
      <c r="G140" s="7">
        <v>46170</v>
      </c>
      <c r="H140" s="7">
        <f t="shared" si="7"/>
        <v>46249</v>
      </c>
      <c r="I140" s="7">
        <f t="shared" si="3"/>
        <v>46252</v>
      </c>
      <c r="J140" s="4" t="s">
        <v>13</v>
      </c>
      <c r="K140" s="4" t="str">
        <f t="shared" si="5"/>
        <v>CNC DRILLING-XRAY-INSTALLATION</v>
      </c>
      <c r="L140" s="4" t="str">
        <f t="shared" si="6"/>
        <v>SCHMOLL-CNC DRILLING-XRAY</v>
      </c>
      <c r="P140" s="4"/>
      <c r="Q140" s="4"/>
      <c r="U140" s="10"/>
    </row>
    <row r="141" spans="1:21" ht="30" customHeight="1" x14ac:dyDescent="0.25">
      <c r="A141" s="4">
        <v>140</v>
      </c>
      <c r="B141" s="5" t="s">
        <v>74</v>
      </c>
      <c r="C141" s="12" t="s">
        <v>59</v>
      </c>
      <c r="D141" s="15" t="s">
        <v>82</v>
      </c>
      <c r="E141" s="5" t="s">
        <v>16</v>
      </c>
      <c r="F141" s="13">
        <v>7</v>
      </c>
      <c r="G141" s="7">
        <v>46173</v>
      </c>
      <c r="H141" s="7">
        <f t="shared" si="7"/>
        <v>46253</v>
      </c>
      <c r="I141" s="7">
        <f t="shared" si="3"/>
        <v>46260</v>
      </c>
      <c r="J141" s="4" t="s">
        <v>13</v>
      </c>
      <c r="K141" s="4" t="str">
        <f t="shared" si="5"/>
        <v>CNC DRILLING-T-TRAINING</v>
      </c>
      <c r="L141" s="4" t="str">
        <f t="shared" si="6"/>
        <v>SCHMOLL-CNC DRILLING-T</v>
      </c>
      <c r="P141" s="4"/>
      <c r="Q141" s="4"/>
      <c r="U141" s="10"/>
    </row>
    <row r="142" spans="1:21" ht="30" customHeight="1" x14ac:dyDescent="0.25">
      <c r="A142" s="4">
        <v>141</v>
      </c>
      <c r="B142" s="5" t="s">
        <v>83</v>
      </c>
      <c r="C142" s="12" t="s">
        <v>84</v>
      </c>
      <c r="D142" s="5" t="s">
        <v>85</v>
      </c>
      <c r="E142" s="5" t="s">
        <v>12</v>
      </c>
      <c r="F142" s="13">
        <v>2</v>
      </c>
      <c r="G142" s="7">
        <v>46156</v>
      </c>
      <c r="H142" s="7">
        <f>G142+80</f>
        <v>46236</v>
      </c>
      <c r="I142" s="7">
        <f t="shared" si="3"/>
        <v>46238</v>
      </c>
      <c r="J142" s="4" t="s">
        <v>13</v>
      </c>
      <c r="K142" s="4" t="str">
        <f t="shared" si="5"/>
        <v>CNC ROUTING-1-INSTALLATION</v>
      </c>
      <c r="L142" s="4" t="str">
        <f t="shared" si="6"/>
        <v>ANDERSON-CNC ROUTING-1</v>
      </c>
      <c r="P142" s="4"/>
      <c r="Q142" s="4"/>
      <c r="U142" s="10"/>
    </row>
    <row r="143" spans="1:21" ht="30" customHeight="1" x14ac:dyDescent="0.25">
      <c r="A143" s="4">
        <v>142</v>
      </c>
      <c r="B143" s="5" t="s">
        <v>83</v>
      </c>
      <c r="C143" s="12" t="s">
        <v>84</v>
      </c>
      <c r="D143" s="5" t="s">
        <v>86</v>
      </c>
      <c r="E143" s="5" t="s">
        <v>12</v>
      </c>
      <c r="F143" s="13">
        <v>1</v>
      </c>
      <c r="G143" s="7">
        <v>46159</v>
      </c>
      <c r="H143" s="7">
        <f t="shared" ref="H143:H153" si="8">I142+1</f>
        <v>46239</v>
      </c>
      <c r="I143" s="7">
        <f t="shared" si="3"/>
        <v>46240</v>
      </c>
      <c r="J143" s="4" t="s">
        <v>13</v>
      </c>
      <c r="K143" s="4" t="str">
        <f t="shared" si="5"/>
        <v>CNC ROUTING-2-INSTALLATION</v>
      </c>
      <c r="L143" s="4" t="str">
        <f t="shared" si="6"/>
        <v>ANDERSON-CNC ROUTING-2</v>
      </c>
      <c r="P143" s="4"/>
      <c r="Q143" s="4"/>
      <c r="U143" s="10"/>
    </row>
    <row r="144" spans="1:21" ht="30" customHeight="1" x14ac:dyDescent="0.25">
      <c r="A144" s="4">
        <v>143</v>
      </c>
      <c r="B144" s="5" t="s">
        <v>83</v>
      </c>
      <c r="C144" s="12" t="s">
        <v>84</v>
      </c>
      <c r="D144" s="5" t="s">
        <v>87</v>
      </c>
      <c r="E144" s="5" t="s">
        <v>12</v>
      </c>
      <c r="F144" s="13">
        <v>2</v>
      </c>
      <c r="G144" s="7">
        <v>46161</v>
      </c>
      <c r="H144" s="7">
        <f t="shared" si="8"/>
        <v>46241</v>
      </c>
      <c r="I144" s="7">
        <f t="shared" si="3"/>
        <v>46243</v>
      </c>
      <c r="J144" s="4" t="s">
        <v>13</v>
      </c>
      <c r="K144" s="4" t="str">
        <f t="shared" si="5"/>
        <v>CNC ROUTING-3-INSTALLATION</v>
      </c>
      <c r="L144" s="4" t="str">
        <f t="shared" si="6"/>
        <v>ANDERSON-CNC ROUTING-3</v>
      </c>
      <c r="P144" s="4"/>
      <c r="Q144" s="4"/>
      <c r="U144" s="10"/>
    </row>
    <row r="145" spans="1:21" ht="30" customHeight="1" x14ac:dyDescent="0.25">
      <c r="A145" s="4">
        <v>144</v>
      </c>
      <c r="B145" s="5" t="s">
        <v>83</v>
      </c>
      <c r="C145" s="12" t="s">
        <v>84</v>
      </c>
      <c r="D145" s="5" t="s">
        <v>88</v>
      </c>
      <c r="E145" s="5" t="s">
        <v>12</v>
      </c>
      <c r="F145" s="13">
        <v>1</v>
      </c>
      <c r="G145" s="7">
        <v>46164</v>
      </c>
      <c r="H145" s="7">
        <f t="shared" si="8"/>
        <v>46244</v>
      </c>
      <c r="I145" s="7">
        <f t="shared" si="3"/>
        <v>46245</v>
      </c>
      <c r="J145" s="4" t="s">
        <v>13</v>
      </c>
      <c r="K145" s="4" t="str">
        <f t="shared" si="5"/>
        <v>CNC ROUTING-4-INSTALLATION</v>
      </c>
      <c r="L145" s="4" t="str">
        <f t="shared" si="6"/>
        <v>ANDERSON-CNC ROUTING-4</v>
      </c>
      <c r="P145" s="4"/>
      <c r="Q145" s="4"/>
      <c r="U145" s="10"/>
    </row>
    <row r="146" spans="1:21" ht="30" customHeight="1" x14ac:dyDescent="0.25">
      <c r="A146" s="4">
        <v>145</v>
      </c>
      <c r="B146" s="5" t="s">
        <v>83</v>
      </c>
      <c r="C146" s="12" t="s">
        <v>84</v>
      </c>
      <c r="D146" s="5" t="s">
        <v>89</v>
      </c>
      <c r="E146" s="5" t="s">
        <v>12</v>
      </c>
      <c r="F146" s="13">
        <v>1</v>
      </c>
      <c r="G146" s="7">
        <v>46166</v>
      </c>
      <c r="H146" s="7">
        <f t="shared" si="8"/>
        <v>46246</v>
      </c>
      <c r="I146" s="7">
        <f t="shared" si="3"/>
        <v>46247</v>
      </c>
      <c r="J146" s="4" t="s">
        <v>13</v>
      </c>
      <c r="K146" s="4" t="str">
        <f t="shared" si="5"/>
        <v>CNC ROUTING-5-INSTALLATION</v>
      </c>
      <c r="L146" s="4" t="str">
        <f t="shared" si="6"/>
        <v>ANDERSON-CNC ROUTING-5</v>
      </c>
      <c r="P146" s="4"/>
      <c r="Q146" s="4"/>
      <c r="U146" s="10"/>
    </row>
    <row r="147" spans="1:21" ht="30" customHeight="1" x14ac:dyDescent="0.25">
      <c r="A147" s="4">
        <v>146</v>
      </c>
      <c r="B147" s="5" t="s">
        <v>83</v>
      </c>
      <c r="C147" s="12" t="s">
        <v>84</v>
      </c>
      <c r="D147" s="5" t="s">
        <v>90</v>
      </c>
      <c r="E147" s="5" t="s">
        <v>12</v>
      </c>
      <c r="F147" s="13">
        <v>2</v>
      </c>
      <c r="G147" s="7">
        <v>46168</v>
      </c>
      <c r="H147" s="7">
        <f t="shared" si="8"/>
        <v>46248</v>
      </c>
      <c r="I147" s="7">
        <f t="shared" si="3"/>
        <v>46250</v>
      </c>
      <c r="J147" s="4" t="s">
        <v>13</v>
      </c>
      <c r="K147" s="4" t="str">
        <f t="shared" si="5"/>
        <v>CNC ROUTING-6-INSTALLATION</v>
      </c>
      <c r="L147" s="4" t="str">
        <f t="shared" si="6"/>
        <v>ANDERSON-CNC ROUTING-6</v>
      </c>
      <c r="P147" s="4"/>
      <c r="Q147" s="4"/>
      <c r="U147" s="10"/>
    </row>
    <row r="148" spans="1:21" ht="30" customHeight="1" x14ac:dyDescent="0.25">
      <c r="A148" s="4">
        <v>147</v>
      </c>
      <c r="B148" s="5" t="s">
        <v>83</v>
      </c>
      <c r="C148" s="12" t="s">
        <v>84</v>
      </c>
      <c r="D148" s="5" t="s">
        <v>91</v>
      </c>
      <c r="E148" s="5" t="s">
        <v>12</v>
      </c>
      <c r="F148" s="13">
        <v>1</v>
      </c>
      <c r="G148" s="7">
        <v>46171</v>
      </c>
      <c r="H148" s="7">
        <f t="shared" si="8"/>
        <v>46251</v>
      </c>
      <c r="I148" s="7">
        <f t="shared" si="3"/>
        <v>46252</v>
      </c>
      <c r="J148" s="4" t="s">
        <v>13</v>
      </c>
      <c r="K148" s="4" t="str">
        <f t="shared" si="5"/>
        <v>CNC ROUTING-7-INSTALLATION</v>
      </c>
      <c r="L148" s="4" t="str">
        <f t="shared" si="6"/>
        <v>ANDERSON-CNC ROUTING-7</v>
      </c>
      <c r="P148" s="4"/>
      <c r="Q148" s="4"/>
      <c r="U148" s="10"/>
    </row>
    <row r="149" spans="1:21" ht="30" customHeight="1" x14ac:dyDescent="0.25">
      <c r="A149" s="4">
        <v>148</v>
      </c>
      <c r="B149" s="5" t="s">
        <v>83</v>
      </c>
      <c r="C149" s="12" t="s">
        <v>84</v>
      </c>
      <c r="D149" s="5" t="s">
        <v>92</v>
      </c>
      <c r="E149" s="5" t="s">
        <v>12</v>
      </c>
      <c r="F149" s="13">
        <v>1</v>
      </c>
      <c r="G149" s="7">
        <v>46173</v>
      </c>
      <c r="H149" s="7">
        <f t="shared" si="8"/>
        <v>46253</v>
      </c>
      <c r="I149" s="7">
        <f t="shared" si="3"/>
        <v>46254</v>
      </c>
      <c r="J149" s="4" t="s">
        <v>13</v>
      </c>
      <c r="K149" s="4" t="str">
        <f t="shared" si="5"/>
        <v>CNC ROUTING-8-INSTALLATION</v>
      </c>
      <c r="L149" s="4" t="str">
        <f t="shared" si="6"/>
        <v>ANDERSON-CNC ROUTING-8</v>
      </c>
      <c r="P149" s="4"/>
      <c r="Q149" s="4"/>
      <c r="U149" s="10"/>
    </row>
    <row r="150" spans="1:21" ht="30" customHeight="1" x14ac:dyDescent="0.25">
      <c r="A150" s="4">
        <v>149</v>
      </c>
      <c r="B150" s="5" t="s">
        <v>83</v>
      </c>
      <c r="C150" s="12" t="s">
        <v>84</v>
      </c>
      <c r="D150" s="5" t="s">
        <v>93</v>
      </c>
      <c r="E150" s="5" t="s">
        <v>12</v>
      </c>
      <c r="F150" s="13">
        <v>2</v>
      </c>
      <c r="G150" s="7">
        <v>46175</v>
      </c>
      <c r="H150" s="7">
        <f t="shared" si="8"/>
        <v>46255</v>
      </c>
      <c r="I150" s="7">
        <f t="shared" si="3"/>
        <v>46257</v>
      </c>
      <c r="J150" s="4" t="s">
        <v>13</v>
      </c>
      <c r="K150" s="4" t="str">
        <f t="shared" si="5"/>
        <v>CNC ROUTING-9-INSTALLATION</v>
      </c>
      <c r="L150" s="4" t="str">
        <f t="shared" si="6"/>
        <v>ANDERSON-CNC ROUTING-9</v>
      </c>
      <c r="P150" s="4"/>
      <c r="Q150" s="4"/>
      <c r="U150" s="10"/>
    </row>
    <row r="151" spans="1:21" ht="30" customHeight="1" x14ac:dyDescent="0.25">
      <c r="A151" s="4">
        <v>150</v>
      </c>
      <c r="B151" s="5" t="s">
        <v>83</v>
      </c>
      <c r="C151" s="12" t="s">
        <v>84</v>
      </c>
      <c r="D151" s="5" t="s">
        <v>94</v>
      </c>
      <c r="E151" s="5" t="s">
        <v>12</v>
      </c>
      <c r="F151" s="13">
        <v>1</v>
      </c>
      <c r="G151" s="7">
        <v>46178</v>
      </c>
      <c r="H151" s="7">
        <f t="shared" si="8"/>
        <v>46258</v>
      </c>
      <c r="I151" s="7">
        <f t="shared" si="3"/>
        <v>46259</v>
      </c>
      <c r="J151" s="4" t="s">
        <v>13</v>
      </c>
      <c r="K151" s="4" t="str">
        <f t="shared" si="5"/>
        <v>CNC ROUTING-10-INSTALLATION</v>
      </c>
      <c r="L151" s="4" t="str">
        <f t="shared" si="6"/>
        <v>ANDERSON-CNC ROUTING-10</v>
      </c>
      <c r="P151" s="4"/>
      <c r="Q151" s="4"/>
      <c r="U151" s="10"/>
    </row>
    <row r="152" spans="1:21" ht="30" customHeight="1" x14ac:dyDescent="0.25">
      <c r="A152" s="4">
        <v>151</v>
      </c>
      <c r="B152" s="5" t="s">
        <v>83</v>
      </c>
      <c r="C152" s="12" t="s">
        <v>84</v>
      </c>
      <c r="D152" s="5" t="s">
        <v>95</v>
      </c>
      <c r="E152" s="5" t="s">
        <v>12</v>
      </c>
      <c r="F152" s="13">
        <v>1</v>
      </c>
      <c r="G152" s="7">
        <v>46180</v>
      </c>
      <c r="H152" s="7">
        <f t="shared" si="8"/>
        <v>46260</v>
      </c>
      <c r="I152" s="7">
        <f t="shared" si="3"/>
        <v>46261</v>
      </c>
      <c r="J152" s="4" t="s">
        <v>13</v>
      </c>
      <c r="K152" s="4" t="str">
        <f t="shared" si="5"/>
        <v>CNC ROUTING-11-INSTALLATION</v>
      </c>
      <c r="L152" s="4" t="str">
        <f t="shared" si="6"/>
        <v>ANDERSON-CNC ROUTING-11</v>
      </c>
      <c r="P152" s="4"/>
      <c r="Q152" s="4"/>
      <c r="U152" s="10"/>
    </row>
    <row r="153" spans="1:21" ht="30" customHeight="1" x14ac:dyDescent="0.25">
      <c r="A153" s="4">
        <v>152</v>
      </c>
      <c r="B153" s="5" t="str">
        <f>B152</f>
        <v>ROUTING</v>
      </c>
      <c r="C153" s="12" t="str">
        <f>C152</f>
        <v>ANDERSON</v>
      </c>
      <c r="D153" s="5" t="s">
        <v>96</v>
      </c>
      <c r="E153" s="5" t="s">
        <v>16</v>
      </c>
      <c r="F153" s="13">
        <v>7</v>
      </c>
      <c r="G153" s="7">
        <v>46181</v>
      </c>
      <c r="H153" s="7">
        <f t="shared" si="8"/>
        <v>46262</v>
      </c>
      <c r="I153" s="7">
        <f t="shared" si="3"/>
        <v>46269</v>
      </c>
      <c r="J153" s="4" t="s">
        <v>13</v>
      </c>
      <c r="K153" s="4" t="str">
        <f t="shared" si="5"/>
        <v>CNC ROUTING-T-TRAINING</v>
      </c>
      <c r="L153" s="4" t="str">
        <f t="shared" si="6"/>
        <v>ANDERSON-CNC ROUTING-T</v>
      </c>
      <c r="P153" s="4"/>
      <c r="Q153" s="4"/>
      <c r="U153" s="10"/>
    </row>
    <row r="154" spans="1:21" ht="30" customHeight="1" x14ac:dyDescent="0.25">
      <c r="A154" s="4">
        <v>153</v>
      </c>
      <c r="B154" s="5" t="s">
        <v>29</v>
      </c>
      <c r="C154" s="5" t="s">
        <v>97</v>
      </c>
      <c r="D154" s="5" t="s">
        <v>98</v>
      </c>
      <c r="E154" s="5" t="s">
        <v>12</v>
      </c>
      <c r="F154" s="6">
        <v>15</v>
      </c>
      <c r="G154" s="7"/>
      <c r="H154" s="7">
        <v>46265</v>
      </c>
      <c r="I154" s="7">
        <f t="shared" si="3"/>
        <v>46280</v>
      </c>
      <c r="U154" s="10"/>
    </row>
    <row r="155" spans="1:21" ht="30" customHeight="1" x14ac:dyDescent="0.25">
      <c r="A155" s="4">
        <v>154</v>
      </c>
      <c r="B155" s="5" t="s">
        <v>29</v>
      </c>
      <c r="C155" s="5" t="s">
        <v>97</v>
      </c>
      <c r="D155" s="5" t="s">
        <v>98</v>
      </c>
      <c r="E155" s="5" t="s">
        <v>16</v>
      </c>
      <c r="F155" s="6">
        <v>3</v>
      </c>
      <c r="G155" s="7"/>
      <c r="H155" s="7">
        <f>I154+1</f>
        <v>46281</v>
      </c>
      <c r="I155" s="7">
        <f t="shared" si="3"/>
        <v>46284</v>
      </c>
      <c r="U155" s="10"/>
    </row>
    <row r="156" spans="1:21" ht="30" customHeight="1" x14ac:dyDescent="0.25">
      <c r="B156" s="5"/>
      <c r="C156" s="5"/>
      <c r="D156" s="5"/>
      <c r="E156" s="5"/>
      <c r="F156" s="6"/>
      <c r="G156" s="7"/>
      <c r="H156" s="7"/>
      <c r="I156" s="7"/>
    </row>
    <row r="157" spans="1:21" ht="30" customHeight="1" x14ac:dyDescent="0.25">
      <c r="B157" s="5"/>
      <c r="C157" s="5"/>
      <c r="D157" s="5"/>
      <c r="E157" s="5"/>
      <c r="F157" s="6"/>
      <c r="G157" s="7"/>
      <c r="H157" s="7"/>
      <c r="I157" s="7"/>
    </row>
    <row r="158" spans="1:21" ht="30" customHeight="1" x14ac:dyDescent="0.25">
      <c r="B158" s="5"/>
      <c r="C158" s="5"/>
      <c r="D158" s="5"/>
      <c r="E158" s="5"/>
      <c r="F158" s="6"/>
      <c r="G158" s="7"/>
      <c r="H158" s="7"/>
      <c r="I158" s="7"/>
    </row>
    <row r="159" spans="1:21" ht="30" customHeight="1" x14ac:dyDescent="0.25">
      <c r="B159" s="5"/>
      <c r="C159" s="5"/>
      <c r="D159" s="5"/>
      <c r="E159" s="5"/>
      <c r="F159" s="6"/>
      <c r="G159" s="7"/>
      <c r="H159" s="7"/>
      <c r="I159" s="7"/>
    </row>
    <row r="160" spans="1:21" ht="30" customHeight="1" x14ac:dyDescent="0.25">
      <c r="B160" s="5"/>
      <c r="C160" s="5"/>
      <c r="D160" s="5"/>
      <c r="E160" s="5"/>
      <c r="F160" s="6"/>
      <c r="G160" s="7"/>
      <c r="H160" s="7"/>
      <c r="I160" s="7"/>
    </row>
    <row r="161" spans="2:9" ht="30" customHeight="1" x14ac:dyDescent="0.25">
      <c r="B161" s="5"/>
      <c r="C161" s="5"/>
      <c r="D161" s="5"/>
      <c r="E161" s="5"/>
      <c r="F161" s="6"/>
      <c r="G161" s="7"/>
      <c r="H161" s="7"/>
      <c r="I161" s="7"/>
    </row>
    <row r="162" spans="2:9" ht="30" customHeight="1" x14ac:dyDescent="0.25">
      <c r="B162" s="5"/>
      <c r="C162" s="5"/>
      <c r="D162" s="5"/>
      <c r="E162" s="5"/>
      <c r="F162" s="6"/>
      <c r="G162" s="7"/>
      <c r="H162" s="7"/>
      <c r="I162" s="7"/>
    </row>
    <row r="163" spans="2:9" ht="30" customHeight="1" x14ac:dyDescent="0.25">
      <c r="B163" s="5"/>
      <c r="C163" s="5"/>
      <c r="D163" s="5"/>
      <c r="E163" s="5"/>
      <c r="F163" s="6"/>
      <c r="G163" s="7"/>
      <c r="H163" s="7"/>
      <c r="I163" s="7"/>
    </row>
    <row r="164" spans="2:9" ht="30" customHeight="1" x14ac:dyDescent="0.25">
      <c r="B164" s="5"/>
      <c r="C164" s="5"/>
      <c r="D164" s="5"/>
      <c r="E164" s="5"/>
      <c r="F164" s="6"/>
      <c r="G164" s="7"/>
      <c r="H164" s="7"/>
      <c r="I164" s="7"/>
    </row>
    <row r="165" spans="2:9" ht="30" customHeight="1" x14ac:dyDescent="0.25">
      <c r="B165" s="5"/>
      <c r="C165" s="5"/>
      <c r="D165" s="5"/>
      <c r="E165" s="5"/>
      <c r="F165" s="6"/>
      <c r="G165" s="7"/>
      <c r="H165" s="7"/>
      <c r="I165" s="7"/>
    </row>
    <row r="166" spans="2:9" ht="30" customHeight="1" x14ac:dyDescent="0.25">
      <c r="B166" s="5"/>
      <c r="C166" s="5"/>
      <c r="D166" s="5"/>
      <c r="E166" s="5"/>
      <c r="F166" s="6"/>
      <c r="G166" s="7"/>
      <c r="H166" s="7"/>
      <c r="I166" s="7"/>
    </row>
    <row r="167" spans="2:9" ht="30" customHeight="1" x14ac:dyDescent="0.25">
      <c r="B167" s="5"/>
      <c r="C167" s="5"/>
      <c r="D167" s="5"/>
      <c r="E167" s="5"/>
      <c r="F167" s="6"/>
      <c r="G167" s="7"/>
      <c r="H167" s="7"/>
      <c r="I167" s="7"/>
    </row>
    <row r="168" spans="2:9" ht="30" customHeight="1" x14ac:dyDescent="0.25">
      <c r="B168" s="5"/>
      <c r="C168" s="5"/>
      <c r="D168" s="5"/>
      <c r="E168" s="5"/>
      <c r="F168" s="6"/>
      <c r="G168" s="7"/>
      <c r="H168" s="7"/>
      <c r="I168" s="7"/>
    </row>
    <row r="169" spans="2:9" ht="30" customHeight="1" x14ac:dyDescent="0.25">
      <c r="B169" s="5"/>
      <c r="C169" s="5"/>
      <c r="D169" s="5"/>
      <c r="E169" s="5"/>
      <c r="F169" s="6"/>
      <c r="G169" s="7"/>
      <c r="H169" s="7"/>
      <c r="I169" s="7"/>
    </row>
    <row r="170" spans="2:9" ht="30" customHeight="1" x14ac:dyDescent="0.25">
      <c r="B170" s="5"/>
      <c r="C170" s="5"/>
      <c r="D170" s="5"/>
      <c r="E170" s="5"/>
      <c r="F170" s="6"/>
      <c r="G170" s="7"/>
      <c r="H170" s="7"/>
      <c r="I170" s="7"/>
    </row>
    <row r="171" spans="2:9" ht="30" customHeight="1" x14ac:dyDescent="0.25">
      <c r="B171" s="5"/>
      <c r="C171" s="5"/>
      <c r="D171" s="5"/>
      <c r="E171" s="5"/>
      <c r="F171" s="6"/>
      <c r="G171" s="7"/>
      <c r="H171" s="7"/>
      <c r="I171" s="7"/>
    </row>
    <row r="172" spans="2:9" ht="30" customHeight="1" x14ac:dyDescent="0.25">
      <c r="B172" s="5"/>
      <c r="C172" s="5"/>
      <c r="D172" s="5"/>
      <c r="E172" s="5"/>
      <c r="F172" s="6"/>
      <c r="G172" s="7"/>
      <c r="H172" s="7"/>
      <c r="I172" s="7"/>
    </row>
    <row r="173" spans="2:9" ht="30" customHeight="1" x14ac:dyDescent="0.25">
      <c r="B173" s="5"/>
      <c r="C173" s="5"/>
      <c r="D173" s="5"/>
      <c r="E173" s="5"/>
      <c r="F173" s="6"/>
      <c r="G173" s="7"/>
      <c r="H173" s="7"/>
      <c r="I173" s="7"/>
    </row>
    <row r="174" spans="2:9" ht="30" customHeight="1" x14ac:dyDescent="0.25">
      <c r="B174" s="5"/>
      <c r="C174" s="5"/>
      <c r="D174" s="5"/>
      <c r="E174" s="5"/>
      <c r="F174" s="6"/>
      <c r="G174" s="7"/>
      <c r="H174" s="7"/>
      <c r="I174" s="7"/>
    </row>
    <row r="175" spans="2:9" ht="30" customHeight="1" x14ac:dyDescent="0.25">
      <c r="B175" s="5"/>
      <c r="C175" s="5"/>
      <c r="D175" s="5"/>
      <c r="E175" s="5"/>
      <c r="F175" s="6"/>
      <c r="G175" s="7"/>
      <c r="H175" s="7"/>
      <c r="I175" s="7"/>
    </row>
    <row r="176" spans="2:9" ht="30" customHeight="1" x14ac:dyDescent="0.25">
      <c r="B176" s="5"/>
      <c r="C176" s="5"/>
      <c r="D176" s="5"/>
      <c r="E176" s="5"/>
      <c r="F176" s="6"/>
      <c r="G176" s="7"/>
      <c r="H176" s="7"/>
      <c r="I176" s="7"/>
    </row>
    <row r="177" spans="2:9" ht="30" customHeight="1" x14ac:dyDescent="0.25">
      <c r="B177" s="5"/>
      <c r="C177" s="5"/>
      <c r="D177" s="5"/>
      <c r="E177" s="5"/>
      <c r="F177" s="6"/>
      <c r="G177" s="7"/>
      <c r="H177" s="7"/>
      <c r="I177" s="7"/>
    </row>
    <row r="178" spans="2:9" ht="30" customHeight="1" x14ac:dyDescent="0.25">
      <c r="B178" s="5"/>
      <c r="C178" s="5"/>
      <c r="D178" s="5"/>
      <c r="E178" s="5"/>
      <c r="F178" s="6"/>
      <c r="G178" s="7"/>
      <c r="H178" s="7"/>
      <c r="I178" s="7"/>
    </row>
    <row r="179" spans="2:9" ht="30" customHeight="1" x14ac:dyDescent="0.25">
      <c r="B179" s="5"/>
      <c r="C179" s="5"/>
      <c r="D179" s="5"/>
      <c r="E179" s="5"/>
      <c r="F179" s="6"/>
      <c r="G179" s="7"/>
      <c r="H179" s="7"/>
      <c r="I179" s="7"/>
    </row>
    <row r="180" spans="2:9" ht="30" customHeight="1" x14ac:dyDescent="0.25">
      <c r="B180" s="5"/>
      <c r="C180" s="5"/>
      <c r="D180" s="5"/>
      <c r="E180" s="5"/>
      <c r="F180" s="6"/>
      <c r="G180" s="7"/>
      <c r="H180" s="7"/>
      <c r="I180" s="7"/>
    </row>
    <row r="181" spans="2:9" ht="30" customHeight="1" x14ac:dyDescent="0.25">
      <c r="B181" s="5"/>
      <c r="C181" s="5"/>
      <c r="D181" s="5"/>
      <c r="E181" s="5"/>
      <c r="F181" s="6"/>
      <c r="G181" s="7"/>
      <c r="H181" s="7"/>
      <c r="I181" s="7"/>
    </row>
    <row r="182" spans="2:9" ht="30" customHeight="1" x14ac:dyDescent="0.25">
      <c r="B182" s="5"/>
      <c r="C182" s="5"/>
      <c r="D182" s="5"/>
      <c r="E182" s="5"/>
      <c r="F182" s="6"/>
      <c r="G182" s="7"/>
      <c r="H182" s="7"/>
      <c r="I182" s="7"/>
    </row>
    <row r="183" spans="2:9" ht="30" customHeight="1" x14ac:dyDescent="0.25">
      <c r="B183" s="5"/>
      <c r="C183" s="5"/>
      <c r="D183" s="5"/>
      <c r="E183" s="5"/>
      <c r="F183" s="6"/>
      <c r="G183" s="7"/>
      <c r="H183" s="7"/>
      <c r="I183" s="7"/>
    </row>
    <row r="184" spans="2:9" ht="30" customHeight="1" x14ac:dyDescent="0.25">
      <c r="B184" s="5"/>
      <c r="C184" s="5"/>
      <c r="D184" s="5"/>
      <c r="E184" s="5"/>
      <c r="F184" s="6"/>
      <c r="G184" s="7"/>
      <c r="H184" s="7"/>
      <c r="I184" s="7"/>
    </row>
    <row r="185" spans="2:9" ht="30" customHeight="1" x14ac:dyDescent="0.25">
      <c r="B185" s="5"/>
      <c r="C185" s="5"/>
      <c r="D185" s="5"/>
      <c r="E185" s="5"/>
      <c r="F185" s="6"/>
      <c r="G185" s="7"/>
      <c r="H185" s="7"/>
      <c r="I185" s="7"/>
    </row>
    <row r="186" spans="2:9" ht="30" customHeight="1" x14ac:dyDescent="0.25">
      <c r="B186" s="5"/>
      <c r="C186" s="5"/>
      <c r="D186" s="5"/>
      <c r="E186" s="5"/>
      <c r="F186" s="6"/>
      <c r="G186" s="7"/>
      <c r="H186" s="7"/>
      <c r="I186" s="7"/>
    </row>
    <row r="187" spans="2:9" ht="30" customHeight="1" x14ac:dyDescent="0.25">
      <c r="B187" s="5"/>
      <c r="C187" s="5"/>
      <c r="D187" s="5"/>
      <c r="E187" s="5"/>
      <c r="F187" s="6"/>
      <c r="G187" s="7"/>
      <c r="H187" s="7"/>
      <c r="I187" s="7"/>
    </row>
    <row r="188" spans="2:9" ht="30" customHeight="1" x14ac:dyDescent="0.25">
      <c r="B188" s="5"/>
      <c r="C188" s="5"/>
      <c r="D188" s="5"/>
      <c r="E188" s="5"/>
      <c r="F188" s="6"/>
      <c r="G188" s="7"/>
      <c r="H188" s="7"/>
      <c r="I188" s="7"/>
    </row>
    <row r="189" spans="2:9" ht="30" customHeight="1" x14ac:dyDescent="0.25">
      <c r="B189" s="5"/>
      <c r="C189" s="5"/>
      <c r="D189" s="5"/>
      <c r="E189" s="5"/>
      <c r="F189" s="6"/>
      <c r="G189" s="7"/>
      <c r="H189" s="7"/>
      <c r="I189" s="7"/>
    </row>
    <row r="190" spans="2:9" ht="30" customHeight="1" x14ac:dyDescent="0.25">
      <c r="B190" s="5"/>
      <c r="C190" s="5"/>
      <c r="D190" s="5"/>
      <c r="E190" s="5"/>
      <c r="F190" s="6"/>
      <c r="G190" s="7"/>
      <c r="H190" s="7"/>
      <c r="I190" s="7"/>
    </row>
    <row r="191" spans="2:9" ht="30" customHeight="1" x14ac:dyDescent="0.25">
      <c r="B191" s="5"/>
      <c r="C191" s="5"/>
      <c r="D191" s="5"/>
      <c r="E191" s="5"/>
      <c r="F191" s="6"/>
      <c r="G191" s="7"/>
      <c r="H191" s="7"/>
      <c r="I191" s="7"/>
    </row>
    <row r="192" spans="2:9" ht="30" customHeight="1" x14ac:dyDescent="0.25">
      <c r="B192" s="5"/>
      <c r="C192" s="5"/>
      <c r="D192" s="5"/>
      <c r="E192" s="5"/>
      <c r="F192" s="6"/>
      <c r="G192" s="7"/>
      <c r="H192" s="7"/>
      <c r="I192" s="7"/>
    </row>
    <row r="193" spans="2:9" ht="30" customHeight="1" x14ac:dyDescent="0.25">
      <c r="B193" s="5"/>
      <c r="C193" s="5"/>
      <c r="D193" s="5"/>
      <c r="E193" s="5"/>
      <c r="F193" s="6"/>
      <c r="G193" s="7"/>
      <c r="H193" s="7"/>
      <c r="I193" s="7"/>
    </row>
    <row r="194" spans="2:9" ht="30" customHeight="1" x14ac:dyDescent="0.25">
      <c r="B194" s="5"/>
      <c r="C194" s="5"/>
      <c r="D194" s="5"/>
      <c r="E194" s="5"/>
      <c r="F194" s="6"/>
      <c r="G194" s="7"/>
      <c r="H194" s="7"/>
      <c r="I194" s="7"/>
    </row>
    <row r="195" spans="2:9" ht="30" customHeight="1" x14ac:dyDescent="0.25">
      <c r="B195" s="5"/>
      <c r="C195" s="5"/>
      <c r="D195" s="5"/>
      <c r="E195" s="5"/>
      <c r="F195" s="6"/>
      <c r="G195" s="7"/>
      <c r="H195" s="7"/>
      <c r="I195" s="7"/>
    </row>
    <row r="196" spans="2:9" ht="30" customHeight="1" x14ac:dyDescent="0.25">
      <c r="B196" s="5"/>
      <c r="C196" s="5"/>
      <c r="D196" s="5"/>
      <c r="E196" s="5"/>
      <c r="F196" s="6"/>
      <c r="G196" s="7"/>
      <c r="H196" s="7"/>
      <c r="I196" s="7"/>
    </row>
    <row r="197" spans="2:9" ht="30" customHeight="1" x14ac:dyDescent="0.25">
      <c r="B197" s="5"/>
      <c r="C197" s="5"/>
      <c r="D197" s="5"/>
      <c r="E197" s="5"/>
      <c r="F197" s="6"/>
      <c r="G197" s="7"/>
      <c r="H197" s="7"/>
      <c r="I197" s="7"/>
    </row>
    <row r="198" spans="2:9" ht="30" customHeight="1" x14ac:dyDescent="0.25">
      <c r="B198" s="5"/>
      <c r="C198" s="5"/>
      <c r="D198" s="5"/>
      <c r="E198" s="5"/>
      <c r="F198" s="6"/>
      <c r="G198" s="7"/>
      <c r="H198" s="7"/>
      <c r="I198" s="7"/>
    </row>
    <row r="199" spans="2:9" ht="30" customHeight="1" x14ac:dyDescent="0.25">
      <c r="B199" s="5"/>
      <c r="C199" s="5"/>
      <c r="D199" s="5"/>
      <c r="E199" s="5"/>
      <c r="F199" s="6"/>
      <c r="G199" s="7"/>
      <c r="H199" s="7"/>
      <c r="I199" s="7"/>
    </row>
    <row r="200" spans="2:9" ht="30" customHeight="1" x14ac:dyDescent="0.25">
      <c r="B200" s="5"/>
      <c r="C200" s="5"/>
      <c r="D200" s="5"/>
      <c r="E200" s="5"/>
      <c r="F200" s="6"/>
      <c r="G200" s="7"/>
      <c r="H200" s="7"/>
      <c r="I200" s="7"/>
    </row>
    <row r="201" spans="2:9" ht="30" customHeight="1" x14ac:dyDescent="0.25">
      <c r="B201" s="5"/>
      <c r="C201" s="5"/>
      <c r="D201" s="5"/>
      <c r="E201" s="5"/>
      <c r="F201" s="6"/>
      <c r="G201" s="7"/>
      <c r="H201" s="7"/>
      <c r="I201" s="7"/>
    </row>
    <row r="202" spans="2:9" ht="30" customHeight="1" x14ac:dyDescent="0.25">
      <c r="B202" s="5"/>
      <c r="C202" s="5"/>
      <c r="D202" s="5"/>
      <c r="E202" s="5"/>
      <c r="F202" s="6"/>
      <c r="G202" s="7"/>
      <c r="H202" s="7"/>
      <c r="I202" s="7"/>
    </row>
    <row r="203" spans="2:9" ht="30" customHeight="1" x14ac:dyDescent="0.25">
      <c r="B203" s="5"/>
      <c r="C203" s="5"/>
      <c r="D203" s="5"/>
      <c r="E203" s="5"/>
      <c r="F203" s="6"/>
      <c r="G203" s="7"/>
      <c r="H203" s="7"/>
      <c r="I203" s="7"/>
    </row>
    <row r="204" spans="2:9" ht="30" customHeight="1" x14ac:dyDescent="0.25">
      <c r="B204" s="5"/>
      <c r="C204" s="5"/>
      <c r="D204" s="5"/>
      <c r="E204" s="5"/>
      <c r="F204" s="6"/>
      <c r="G204" s="7"/>
      <c r="H204" s="7"/>
      <c r="I204" s="7"/>
    </row>
    <row r="205" spans="2:9" ht="30" customHeight="1" x14ac:dyDescent="0.25">
      <c r="B205" s="5"/>
      <c r="C205" s="5"/>
      <c r="D205" s="5"/>
      <c r="E205" s="5"/>
      <c r="F205" s="6"/>
      <c r="G205" s="7"/>
      <c r="H205" s="7"/>
      <c r="I205" s="7"/>
    </row>
    <row r="206" spans="2:9" ht="30" customHeight="1" x14ac:dyDescent="0.25">
      <c r="B206" s="5"/>
      <c r="C206" s="5"/>
      <c r="D206" s="5"/>
      <c r="E206" s="5"/>
      <c r="F206" s="6"/>
      <c r="G206" s="7"/>
      <c r="H206" s="7"/>
      <c r="I206" s="7"/>
    </row>
    <row r="207" spans="2:9" ht="30" customHeight="1" x14ac:dyDescent="0.25">
      <c r="B207" s="5"/>
      <c r="C207" s="5"/>
      <c r="D207" s="5"/>
      <c r="E207" s="5"/>
      <c r="F207" s="6"/>
      <c r="G207" s="7"/>
      <c r="H207" s="7"/>
      <c r="I207" s="7"/>
    </row>
    <row r="208" spans="2:9" ht="30" customHeight="1" x14ac:dyDescent="0.25">
      <c r="B208" s="5"/>
      <c r="C208" s="5"/>
      <c r="D208" s="5"/>
      <c r="E208" s="5"/>
      <c r="F208" s="6"/>
      <c r="G208" s="7"/>
      <c r="H208" s="7"/>
      <c r="I208" s="7"/>
    </row>
    <row r="209" spans="2:9" ht="30" customHeight="1" x14ac:dyDescent="0.25">
      <c r="B209" s="5"/>
      <c r="C209" s="5"/>
      <c r="D209" s="5"/>
      <c r="E209" s="5"/>
      <c r="F209" s="6"/>
      <c r="G209" s="7"/>
      <c r="H209" s="7"/>
      <c r="I209" s="7"/>
    </row>
    <row r="210" spans="2:9" ht="30" customHeight="1" x14ac:dyDescent="0.25">
      <c r="B210" s="5"/>
      <c r="C210" s="5"/>
      <c r="D210" s="5"/>
      <c r="E210" s="5"/>
      <c r="F210" s="6"/>
      <c r="G210" s="7"/>
      <c r="H210" s="7"/>
      <c r="I210" s="7"/>
    </row>
    <row r="211" spans="2:9" ht="30" customHeight="1" x14ac:dyDescent="0.25">
      <c r="B211" s="5"/>
      <c r="C211" s="5"/>
      <c r="D211" s="5"/>
      <c r="E211" s="5"/>
      <c r="F211" s="6"/>
      <c r="G211" s="7"/>
      <c r="H211" s="7"/>
      <c r="I211" s="7"/>
    </row>
    <row r="212" spans="2:9" ht="30" customHeight="1" x14ac:dyDescent="0.25">
      <c r="B212" s="5"/>
      <c r="C212" s="5"/>
      <c r="D212" s="5"/>
      <c r="E212" s="5"/>
      <c r="F212" s="6"/>
      <c r="G212" s="7"/>
      <c r="H212" s="7"/>
      <c r="I212" s="7"/>
    </row>
    <row r="213" spans="2:9" ht="30" customHeight="1" x14ac:dyDescent="0.25">
      <c r="B213" s="5"/>
      <c r="C213" s="5"/>
      <c r="D213" s="5"/>
      <c r="E213" s="5"/>
      <c r="F213" s="6"/>
      <c r="G213" s="7"/>
      <c r="H213" s="7"/>
      <c r="I213" s="7"/>
    </row>
    <row r="214" spans="2:9" ht="30" customHeight="1" x14ac:dyDescent="0.25">
      <c r="B214" s="5"/>
      <c r="C214" s="5"/>
      <c r="D214" s="5"/>
      <c r="E214" s="5"/>
      <c r="F214" s="6"/>
      <c r="G214" s="7"/>
      <c r="H214" s="7"/>
      <c r="I214" s="7"/>
    </row>
    <row r="215" spans="2:9" ht="30" customHeight="1" x14ac:dyDescent="0.25">
      <c r="B215" s="5"/>
      <c r="C215" s="5"/>
      <c r="D215" s="5"/>
      <c r="E215" s="5"/>
      <c r="F215" s="6"/>
      <c r="G215" s="7"/>
      <c r="H215" s="7"/>
      <c r="I215" s="7"/>
    </row>
    <row r="216" spans="2:9" ht="30" customHeight="1" x14ac:dyDescent="0.25">
      <c r="B216" s="5"/>
      <c r="C216" s="5"/>
      <c r="D216" s="5"/>
      <c r="E216" s="5"/>
      <c r="F216" s="6"/>
      <c r="G216" s="7"/>
      <c r="H216" s="7"/>
      <c r="I216" s="7"/>
    </row>
    <row r="217" spans="2:9" ht="30" customHeight="1" x14ac:dyDescent="0.25">
      <c r="B217" s="5"/>
      <c r="C217" s="5"/>
      <c r="D217" s="5"/>
      <c r="E217" s="5"/>
      <c r="F217" s="6"/>
      <c r="G217" s="7"/>
      <c r="H217" s="7"/>
      <c r="I217" s="7"/>
    </row>
    <row r="218" spans="2:9" ht="30" customHeight="1" x14ac:dyDescent="0.25">
      <c r="B218" s="5"/>
      <c r="C218" s="5"/>
      <c r="D218" s="5"/>
      <c r="E218" s="5"/>
      <c r="F218" s="6"/>
      <c r="G218" s="7"/>
      <c r="H218" s="7"/>
      <c r="I218" s="7"/>
    </row>
    <row r="219" spans="2:9" ht="30" customHeight="1" x14ac:dyDescent="0.25">
      <c r="B219" s="5"/>
      <c r="C219" s="5"/>
      <c r="D219" s="5"/>
      <c r="E219" s="5"/>
      <c r="F219" s="6"/>
      <c r="G219" s="7"/>
      <c r="H219" s="7"/>
      <c r="I219" s="7"/>
    </row>
    <row r="220" spans="2:9" ht="30" customHeight="1" x14ac:dyDescent="0.25">
      <c r="B220" s="5"/>
      <c r="C220" s="5"/>
      <c r="D220" s="5"/>
      <c r="E220" s="5"/>
      <c r="F220" s="6"/>
      <c r="G220" s="7"/>
      <c r="H220" s="7"/>
      <c r="I220" s="7"/>
    </row>
    <row r="221" spans="2:9" ht="30" customHeight="1" x14ac:dyDescent="0.25">
      <c r="B221" s="5"/>
      <c r="C221" s="5"/>
      <c r="D221" s="5"/>
      <c r="E221" s="5"/>
      <c r="F221" s="6"/>
      <c r="G221" s="7"/>
      <c r="H221" s="7"/>
      <c r="I221" s="7"/>
    </row>
    <row r="222" spans="2:9" ht="30" customHeight="1" x14ac:dyDescent="0.25">
      <c r="B222" s="5"/>
      <c r="C222" s="5"/>
      <c r="D222" s="5"/>
      <c r="E222" s="5"/>
      <c r="F222" s="6"/>
      <c r="G222" s="7"/>
      <c r="H222" s="7"/>
      <c r="I222" s="7"/>
    </row>
    <row r="223" spans="2:9" ht="30" customHeight="1" x14ac:dyDescent="0.25">
      <c r="B223" s="5"/>
      <c r="C223" s="5"/>
      <c r="D223" s="5"/>
      <c r="E223" s="5"/>
      <c r="F223" s="6"/>
      <c r="G223" s="7"/>
      <c r="H223" s="7"/>
      <c r="I223" s="7"/>
    </row>
    <row r="224" spans="2:9" ht="30" customHeight="1" x14ac:dyDescent="0.25">
      <c r="B224" s="5"/>
      <c r="C224" s="5"/>
      <c r="D224" s="5"/>
      <c r="E224" s="5"/>
      <c r="F224" s="6"/>
      <c r="G224" s="7"/>
      <c r="H224" s="7"/>
      <c r="I224" s="7"/>
    </row>
    <row r="225" spans="2:9" ht="30" customHeight="1" x14ac:dyDescent="0.25">
      <c r="B225" s="5"/>
      <c r="C225" s="5"/>
      <c r="D225" s="5"/>
      <c r="E225" s="5"/>
      <c r="F225" s="6"/>
      <c r="G225" s="7"/>
      <c r="H225" s="7"/>
      <c r="I225" s="7"/>
    </row>
    <row r="226" spans="2:9" ht="30" customHeight="1" x14ac:dyDescent="0.25">
      <c r="B226" s="5"/>
      <c r="C226" s="5"/>
      <c r="D226" s="5"/>
      <c r="E226" s="5"/>
      <c r="F226" s="6"/>
      <c r="G226" s="7"/>
      <c r="H226" s="7"/>
      <c r="I226" s="7"/>
    </row>
    <row r="227" spans="2:9" ht="30" customHeight="1" x14ac:dyDescent="0.25">
      <c r="B227" s="5"/>
      <c r="C227" s="5"/>
      <c r="D227" s="5"/>
      <c r="E227" s="5"/>
      <c r="F227" s="6"/>
      <c r="G227" s="7"/>
      <c r="H227" s="7"/>
      <c r="I227" s="7"/>
    </row>
    <row r="228" spans="2:9" ht="30" customHeight="1" x14ac:dyDescent="0.25">
      <c r="B228" s="5"/>
      <c r="C228" s="5"/>
      <c r="D228" s="5"/>
      <c r="E228" s="5"/>
      <c r="F228" s="6"/>
      <c r="G228" s="7"/>
      <c r="H228" s="7"/>
      <c r="I228" s="7"/>
    </row>
    <row r="229" spans="2:9" ht="30" customHeight="1" x14ac:dyDescent="0.25">
      <c r="B229" s="5"/>
      <c r="C229" s="5"/>
      <c r="D229" s="5"/>
      <c r="E229" s="5"/>
      <c r="F229" s="6"/>
      <c r="G229" s="7"/>
      <c r="H229" s="7"/>
      <c r="I229" s="7"/>
    </row>
    <row r="230" spans="2:9" ht="30" customHeight="1" x14ac:dyDescent="0.25">
      <c r="B230" s="5"/>
      <c r="C230" s="5"/>
      <c r="D230" s="5"/>
      <c r="E230" s="5"/>
      <c r="F230" s="6"/>
      <c r="G230" s="7"/>
      <c r="H230" s="7"/>
      <c r="I230" s="7"/>
    </row>
    <row r="231" spans="2:9" ht="30" customHeight="1" x14ac:dyDescent="0.25">
      <c r="B231" s="5"/>
      <c r="C231" s="5"/>
      <c r="D231" s="5"/>
      <c r="E231" s="5"/>
      <c r="F231" s="6"/>
      <c r="G231" s="7"/>
      <c r="H231" s="7"/>
      <c r="I231" s="7"/>
    </row>
    <row r="232" spans="2:9" ht="30" customHeight="1" x14ac:dyDescent="0.25">
      <c r="B232" s="5"/>
      <c r="C232" s="5"/>
      <c r="D232" s="5"/>
      <c r="E232" s="5"/>
      <c r="F232" s="6"/>
      <c r="G232" s="7"/>
      <c r="H232" s="7"/>
      <c r="I232" s="7"/>
    </row>
    <row r="233" spans="2:9" ht="30" customHeight="1" x14ac:dyDescent="0.25">
      <c r="B233" s="5"/>
      <c r="C233" s="5"/>
      <c r="D233" s="5"/>
      <c r="E233" s="5"/>
      <c r="F233" s="6"/>
      <c r="G233" s="7"/>
      <c r="H233" s="7"/>
      <c r="I233" s="7"/>
    </row>
    <row r="234" spans="2:9" ht="30" customHeight="1" x14ac:dyDescent="0.25">
      <c r="B234" s="5"/>
      <c r="C234" s="5"/>
      <c r="D234" s="5"/>
      <c r="E234" s="5"/>
      <c r="F234" s="6"/>
      <c r="G234" s="7"/>
      <c r="H234" s="7"/>
      <c r="I234" s="7"/>
    </row>
    <row r="235" spans="2:9" ht="30" customHeight="1" x14ac:dyDescent="0.25">
      <c r="B235" s="5"/>
      <c r="C235" s="5"/>
      <c r="D235" s="5"/>
      <c r="E235" s="5"/>
      <c r="F235" s="6"/>
      <c r="G235" s="7"/>
      <c r="H235" s="7"/>
      <c r="I235" s="7"/>
    </row>
    <row r="236" spans="2:9" ht="30" customHeight="1" x14ac:dyDescent="0.25">
      <c r="B236" s="5"/>
      <c r="C236" s="5"/>
      <c r="D236" s="5"/>
      <c r="E236" s="5"/>
      <c r="F236" s="6"/>
      <c r="G236" s="7"/>
      <c r="H236" s="7"/>
      <c r="I236" s="7"/>
    </row>
    <row r="237" spans="2:9" ht="30" customHeight="1" x14ac:dyDescent="0.25">
      <c r="B237" s="5"/>
      <c r="C237" s="5"/>
      <c r="D237" s="5"/>
      <c r="E237" s="5"/>
      <c r="F237" s="6"/>
      <c r="G237" s="7"/>
      <c r="H237" s="7"/>
      <c r="I237" s="7"/>
    </row>
    <row r="238" spans="2:9" ht="30" customHeight="1" x14ac:dyDescent="0.25">
      <c r="B238" s="5"/>
      <c r="C238" s="5"/>
      <c r="D238" s="5"/>
      <c r="E238" s="5"/>
      <c r="F238" s="6"/>
      <c r="G238" s="7"/>
      <c r="H238" s="7"/>
      <c r="I238" s="7"/>
    </row>
    <row r="239" spans="2:9" ht="30" customHeight="1" x14ac:dyDescent="0.25">
      <c r="B239" s="5"/>
      <c r="C239" s="5"/>
      <c r="D239" s="5"/>
      <c r="E239" s="5"/>
      <c r="F239" s="6"/>
      <c r="G239" s="7"/>
      <c r="H239" s="7"/>
      <c r="I239" s="7"/>
    </row>
    <row r="240" spans="2:9" ht="30" customHeight="1" x14ac:dyDescent="0.25">
      <c r="B240" s="5"/>
      <c r="C240" s="5"/>
      <c r="D240" s="5"/>
      <c r="E240" s="5"/>
      <c r="F240" s="6"/>
      <c r="G240" s="7"/>
      <c r="H240" s="7"/>
      <c r="I240" s="7"/>
    </row>
    <row r="241" spans="2:9" ht="30" customHeight="1" x14ac:dyDescent="0.25">
      <c r="B241" s="5"/>
      <c r="C241" s="5"/>
      <c r="D241" s="5"/>
      <c r="E241" s="5"/>
      <c r="F241" s="6"/>
      <c r="G241" s="7"/>
      <c r="H241" s="7"/>
      <c r="I241" s="7"/>
    </row>
    <row r="242" spans="2:9" ht="30" customHeight="1" x14ac:dyDescent="0.25">
      <c r="B242" s="5"/>
      <c r="C242" s="5"/>
      <c r="D242" s="5"/>
      <c r="E242" s="5"/>
      <c r="F242" s="6"/>
      <c r="G242" s="7"/>
      <c r="H242" s="7"/>
      <c r="I242" s="7"/>
    </row>
    <row r="243" spans="2:9" ht="30" customHeight="1" x14ac:dyDescent="0.25">
      <c r="B243" s="5"/>
      <c r="C243" s="5"/>
      <c r="D243" s="5"/>
      <c r="E243" s="5"/>
      <c r="F243" s="6"/>
      <c r="G243" s="7"/>
      <c r="H243" s="7"/>
      <c r="I243" s="7"/>
    </row>
    <row r="244" spans="2:9" ht="30" customHeight="1" x14ac:dyDescent="0.25">
      <c r="B244" s="5"/>
      <c r="C244" s="5"/>
      <c r="D244" s="5"/>
      <c r="E244" s="5"/>
      <c r="F244" s="6"/>
      <c r="G244" s="7"/>
      <c r="H244" s="7"/>
      <c r="I244" s="7"/>
    </row>
    <row r="245" spans="2:9" ht="30" customHeight="1" x14ac:dyDescent="0.25">
      <c r="B245" s="5"/>
      <c r="C245" s="5"/>
      <c r="D245" s="5"/>
      <c r="E245" s="5"/>
      <c r="F245" s="6"/>
      <c r="G245" s="7"/>
      <c r="H245" s="7"/>
      <c r="I245" s="7"/>
    </row>
    <row r="246" spans="2:9" ht="30" customHeight="1" x14ac:dyDescent="0.25">
      <c r="B246" s="5"/>
      <c r="C246" s="5"/>
      <c r="D246" s="5"/>
      <c r="E246" s="5"/>
      <c r="F246" s="6"/>
      <c r="G246" s="7"/>
      <c r="H246" s="7"/>
      <c r="I246" s="7"/>
    </row>
    <row r="247" spans="2:9" ht="30" customHeight="1" x14ac:dyDescent="0.25">
      <c r="B247" s="5"/>
      <c r="C247" s="5"/>
      <c r="D247" s="5"/>
      <c r="E247" s="5"/>
      <c r="F247" s="6"/>
      <c r="G247" s="7"/>
      <c r="H247" s="7"/>
      <c r="I247" s="7"/>
    </row>
    <row r="248" spans="2:9" ht="30" customHeight="1" x14ac:dyDescent="0.25">
      <c r="B248" s="5"/>
      <c r="C248" s="5"/>
      <c r="D248" s="5"/>
      <c r="E248" s="5"/>
      <c r="F248" s="6"/>
      <c r="G248" s="7"/>
      <c r="H248" s="7"/>
      <c r="I248" s="7"/>
    </row>
    <row r="249" spans="2:9" ht="30" customHeight="1" x14ac:dyDescent="0.25">
      <c r="B249" s="5"/>
      <c r="C249" s="5"/>
      <c r="D249" s="5"/>
      <c r="E249" s="5"/>
      <c r="F249" s="6"/>
      <c r="G249" s="7"/>
      <c r="H249" s="7"/>
      <c r="I249" s="7"/>
    </row>
    <row r="250" spans="2:9" ht="30" customHeight="1" x14ac:dyDescent="0.25">
      <c r="B250" s="5"/>
      <c r="C250" s="5"/>
      <c r="D250" s="5"/>
      <c r="E250" s="5"/>
      <c r="F250" s="6"/>
      <c r="G250" s="7"/>
      <c r="H250" s="7"/>
      <c r="I250" s="7"/>
    </row>
    <row r="251" spans="2:9" ht="30" customHeight="1" x14ac:dyDescent="0.25">
      <c r="B251" s="5"/>
      <c r="C251" s="5"/>
      <c r="D251" s="5"/>
      <c r="E251" s="5"/>
      <c r="F251" s="6"/>
      <c r="G251" s="7"/>
      <c r="H251" s="7"/>
      <c r="I251" s="7"/>
    </row>
    <row r="252" spans="2:9" ht="30" customHeight="1" x14ac:dyDescent="0.25">
      <c r="B252" s="5"/>
      <c r="C252" s="5"/>
      <c r="D252" s="5"/>
      <c r="E252" s="5"/>
      <c r="F252" s="6"/>
      <c r="G252" s="7"/>
      <c r="H252" s="7"/>
      <c r="I252" s="7"/>
    </row>
    <row r="253" spans="2:9" ht="30" customHeight="1" x14ac:dyDescent="0.25">
      <c r="B253" s="5"/>
      <c r="C253" s="5"/>
      <c r="D253" s="5"/>
      <c r="E253" s="5"/>
      <c r="F253" s="6"/>
      <c r="G253" s="7"/>
      <c r="H253" s="7"/>
      <c r="I253" s="7"/>
    </row>
    <row r="254" spans="2:9" ht="30" customHeight="1" x14ac:dyDescent="0.25">
      <c r="B254" s="5"/>
      <c r="C254" s="5"/>
      <c r="D254" s="5"/>
      <c r="E254" s="5"/>
      <c r="F254" s="6"/>
      <c r="G254" s="7"/>
      <c r="H254" s="7"/>
      <c r="I254" s="7"/>
    </row>
    <row r="255" spans="2:9" ht="30" customHeight="1" x14ac:dyDescent="0.25">
      <c r="B255" s="5"/>
      <c r="C255" s="5"/>
      <c r="D255" s="5"/>
      <c r="E255" s="5"/>
      <c r="F255" s="6"/>
      <c r="G255" s="7"/>
      <c r="H255" s="7"/>
      <c r="I255" s="7"/>
    </row>
    <row r="256" spans="2:9" ht="30" customHeight="1" x14ac:dyDescent="0.25">
      <c r="B256" s="5"/>
      <c r="C256" s="5"/>
      <c r="D256" s="5"/>
      <c r="E256" s="5"/>
      <c r="F256" s="6"/>
      <c r="G256" s="7"/>
      <c r="H256" s="7"/>
      <c r="I256" s="7"/>
    </row>
    <row r="257" spans="2:9" ht="30" customHeight="1" x14ac:dyDescent="0.25">
      <c r="B257" s="5"/>
      <c r="C257" s="5"/>
      <c r="D257" s="5"/>
      <c r="E257" s="5"/>
      <c r="F257" s="6"/>
      <c r="G257" s="7"/>
      <c r="H257" s="7"/>
      <c r="I257" s="7"/>
    </row>
    <row r="258" spans="2:9" ht="30" customHeight="1" x14ac:dyDescent="0.25">
      <c r="B258" s="5"/>
      <c r="C258" s="5"/>
      <c r="D258" s="5"/>
      <c r="E258" s="5"/>
      <c r="F258" s="6"/>
      <c r="G258" s="7"/>
      <c r="H258" s="7"/>
      <c r="I258" s="7"/>
    </row>
    <row r="259" spans="2:9" ht="30" customHeight="1" x14ac:dyDescent="0.25">
      <c r="B259" s="5"/>
      <c r="C259" s="5"/>
      <c r="D259" s="5"/>
      <c r="E259" s="5"/>
      <c r="F259" s="6"/>
      <c r="G259" s="7"/>
      <c r="H259" s="7"/>
      <c r="I259" s="7"/>
    </row>
    <row r="260" spans="2:9" ht="30" customHeight="1" x14ac:dyDescent="0.25">
      <c r="B260" s="5"/>
      <c r="C260" s="5"/>
      <c r="D260" s="5"/>
      <c r="E260" s="5"/>
      <c r="F260" s="6"/>
      <c r="G260" s="7"/>
      <c r="H260" s="7"/>
      <c r="I260" s="7"/>
    </row>
    <row r="261" spans="2:9" ht="30" customHeight="1" x14ac:dyDescent="0.25">
      <c r="B261" s="5"/>
      <c r="C261" s="5"/>
      <c r="D261" s="5"/>
      <c r="E261" s="5"/>
      <c r="F261" s="6"/>
      <c r="G261" s="7"/>
      <c r="H261" s="7"/>
      <c r="I261" s="7"/>
    </row>
    <row r="262" spans="2:9" ht="30" customHeight="1" x14ac:dyDescent="0.25">
      <c r="B262" s="5"/>
      <c r="C262" s="5"/>
      <c r="D262" s="5"/>
      <c r="E262" s="5"/>
      <c r="F262" s="6"/>
      <c r="G262" s="7"/>
      <c r="H262" s="7"/>
      <c r="I262" s="7"/>
    </row>
    <row r="263" spans="2:9" ht="30" customHeight="1" x14ac:dyDescent="0.25">
      <c r="B263" s="5"/>
      <c r="C263" s="5"/>
      <c r="D263" s="5"/>
      <c r="E263" s="5"/>
      <c r="F263" s="6"/>
      <c r="G263" s="7"/>
      <c r="H263" s="7"/>
      <c r="I263" s="7"/>
    </row>
    <row r="264" spans="2:9" ht="30" customHeight="1" x14ac:dyDescent="0.25">
      <c r="B264" s="5"/>
      <c r="C264" s="5"/>
      <c r="D264" s="5"/>
      <c r="E264" s="5"/>
      <c r="F264" s="6"/>
      <c r="G264" s="7"/>
      <c r="H264" s="7"/>
      <c r="I264" s="7"/>
    </row>
    <row r="265" spans="2:9" ht="30" customHeight="1" x14ac:dyDescent="0.25">
      <c r="B265" s="5"/>
      <c r="C265" s="5"/>
      <c r="D265" s="5"/>
      <c r="E265" s="5"/>
      <c r="F265" s="6"/>
      <c r="G265" s="7"/>
      <c r="H265" s="7"/>
      <c r="I265" s="7"/>
    </row>
    <row r="266" spans="2:9" ht="30" customHeight="1" x14ac:dyDescent="0.25">
      <c r="B266" s="5"/>
      <c r="C266" s="5"/>
      <c r="D266" s="5"/>
      <c r="E266" s="5"/>
      <c r="F266" s="6"/>
      <c r="G266" s="7"/>
      <c r="H266" s="7"/>
      <c r="I266" s="7"/>
    </row>
    <row r="267" spans="2:9" ht="30" customHeight="1" x14ac:dyDescent="0.25">
      <c r="B267" s="5"/>
      <c r="C267" s="5"/>
      <c r="D267" s="5"/>
      <c r="E267" s="5"/>
      <c r="F267" s="6"/>
      <c r="G267" s="7"/>
      <c r="H267" s="7"/>
      <c r="I267" s="7"/>
    </row>
    <row r="268" spans="2:9" ht="30" customHeight="1" x14ac:dyDescent="0.25">
      <c r="B268" s="5"/>
      <c r="C268" s="5"/>
      <c r="D268" s="5"/>
      <c r="E268" s="5"/>
      <c r="F268" s="6"/>
      <c r="G268" s="7"/>
      <c r="H268" s="7"/>
      <c r="I268" s="7"/>
    </row>
    <row r="269" spans="2:9" ht="30" customHeight="1" x14ac:dyDescent="0.25">
      <c r="B269" s="5"/>
      <c r="C269" s="5"/>
      <c r="D269" s="5"/>
      <c r="E269" s="5"/>
      <c r="F269" s="6"/>
      <c r="G269" s="7"/>
      <c r="H269" s="7"/>
      <c r="I269" s="7"/>
    </row>
    <row r="270" spans="2:9" ht="30" customHeight="1" x14ac:dyDescent="0.25">
      <c r="B270" s="5"/>
      <c r="C270" s="5"/>
      <c r="D270" s="5"/>
      <c r="E270" s="5"/>
      <c r="F270" s="6"/>
      <c r="G270" s="7"/>
      <c r="H270" s="7"/>
      <c r="I270" s="7"/>
    </row>
    <row r="271" spans="2:9" ht="30" customHeight="1" x14ac:dyDescent="0.25">
      <c r="B271" s="5"/>
      <c r="C271" s="5"/>
      <c r="D271" s="5"/>
      <c r="E271" s="5"/>
      <c r="F271" s="6"/>
      <c r="G271" s="7"/>
      <c r="H271" s="7"/>
      <c r="I271" s="7"/>
    </row>
    <row r="272" spans="2:9" ht="30" customHeight="1" x14ac:dyDescent="0.25">
      <c r="B272" s="5"/>
      <c r="C272" s="5"/>
      <c r="D272" s="5"/>
      <c r="E272" s="5"/>
      <c r="F272" s="6"/>
      <c r="G272" s="7"/>
      <c r="H272" s="7"/>
      <c r="I272" s="7"/>
    </row>
    <row r="273" spans="2:9" ht="30" customHeight="1" x14ac:dyDescent="0.25">
      <c r="B273" s="5"/>
      <c r="C273" s="5"/>
      <c r="D273" s="5"/>
      <c r="E273" s="5"/>
      <c r="F273" s="6"/>
      <c r="G273" s="7"/>
      <c r="H273" s="7"/>
      <c r="I273" s="7"/>
    </row>
    <row r="274" spans="2:9" ht="30" customHeight="1" x14ac:dyDescent="0.25">
      <c r="B274" s="5"/>
      <c r="C274" s="5"/>
      <c r="D274" s="5"/>
      <c r="E274" s="5"/>
      <c r="F274" s="6"/>
      <c r="G274" s="7"/>
      <c r="H274" s="7"/>
      <c r="I274" s="7"/>
    </row>
    <row r="275" spans="2:9" ht="30" customHeight="1" x14ac:dyDescent="0.25">
      <c r="B275" s="5"/>
      <c r="C275" s="5"/>
      <c r="D275" s="5"/>
      <c r="E275" s="5"/>
      <c r="F275" s="6"/>
      <c r="G275" s="7"/>
      <c r="H275" s="7"/>
      <c r="I275" s="7"/>
    </row>
    <row r="276" spans="2:9" ht="30" customHeight="1" x14ac:dyDescent="0.25">
      <c r="B276" s="5"/>
      <c r="C276" s="5"/>
      <c r="D276" s="5"/>
      <c r="E276" s="5"/>
      <c r="F276" s="6"/>
      <c r="G276" s="7"/>
      <c r="H276" s="7"/>
      <c r="I276" s="7"/>
    </row>
    <row r="277" spans="2:9" ht="30" customHeight="1" x14ac:dyDescent="0.25">
      <c r="B277" s="5"/>
      <c r="C277" s="5"/>
      <c r="D277" s="5"/>
      <c r="E277" s="5"/>
      <c r="F277" s="6"/>
      <c r="G277" s="7"/>
      <c r="H277" s="7"/>
      <c r="I277" s="7"/>
    </row>
    <row r="278" spans="2:9" ht="30" customHeight="1" x14ac:dyDescent="0.25">
      <c r="B278" s="5"/>
      <c r="C278" s="5"/>
      <c r="D278" s="5"/>
      <c r="E278" s="5"/>
      <c r="F278" s="6"/>
      <c r="G278" s="7"/>
      <c r="H278" s="7"/>
      <c r="I278" s="7"/>
    </row>
    <row r="279" spans="2:9" ht="30" customHeight="1" x14ac:dyDescent="0.25">
      <c r="B279" s="5"/>
      <c r="C279" s="5"/>
      <c r="D279" s="5"/>
      <c r="E279" s="5"/>
      <c r="F279" s="6"/>
      <c r="G279" s="7"/>
      <c r="H279" s="7"/>
      <c r="I279" s="7"/>
    </row>
    <row r="280" spans="2:9" ht="30" customHeight="1" x14ac:dyDescent="0.25">
      <c r="B280" s="5"/>
      <c r="C280" s="5"/>
      <c r="D280" s="5"/>
      <c r="E280" s="5"/>
      <c r="F280" s="6"/>
      <c r="G280" s="7"/>
      <c r="H280" s="7"/>
      <c r="I280" s="7"/>
    </row>
    <row r="281" spans="2:9" ht="30" customHeight="1" x14ac:dyDescent="0.25">
      <c r="B281" s="5"/>
      <c r="C281" s="5"/>
      <c r="D281" s="5"/>
      <c r="E281" s="5"/>
      <c r="F281" s="6"/>
      <c r="G281" s="7"/>
      <c r="H281" s="7"/>
      <c r="I281" s="7"/>
    </row>
    <row r="282" spans="2:9" ht="30" customHeight="1" x14ac:dyDescent="0.25">
      <c r="B282" s="5"/>
      <c r="C282" s="5"/>
      <c r="D282" s="5"/>
      <c r="E282" s="5"/>
      <c r="F282" s="6"/>
      <c r="G282" s="7"/>
      <c r="H282" s="7"/>
      <c r="I282" s="7"/>
    </row>
    <row r="283" spans="2:9" ht="30" customHeight="1" x14ac:dyDescent="0.25">
      <c r="B283" s="5"/>
      <c r="C283" s="5"/>
      <c r="D283" s="5"/>
      <c r="E283" s="5"/>
      <c r="F283" s="6"/>
      <c r="G283" s="7"/>
      <c r="H283" s="7"/>
      <c r="I283" s="7"/>
    </row>
    <row r="284" spans="2:9" ht="30" customHeight="1" x14ac:dyDescent="0.25">
      <c r="B284" s="5"/>
      <c r="C284" s="5"/>
      <c r="D284" s="5"/>
      <c r="E284" s="5"/>
      <c r="F284" s="6"/>
      <c r="G284" s="7"/>
      <c r="H284" s="7"/>
      <c r="I284" s="7"/>
    </row>
    <row r="285" spans="2:9" ht="30" customHeight="1" x14ac:dyDescent="0.25">
      <c r="B285" s="5"/>
      <c r="C285" s="5"/>
      <c r="D285" s="5"/>
      <c r="E285" s="5"/>
      <c r="F285" s="6"/>
      <c r="G285" s="7"/>
      <c r="H285" s="7"/>
      <c r="I285" s="7"/>
    </row>
    <row r="286" spans="2:9" ht="30" customHeight="1" x14ac:dyDescent="0.25">
      <c r="B286" s="5"/>
      <c r="C286" s="5"/>
      <c r="D286" s="5"/>
      <c r="E286" s="5"/>
      <c r="F286" s="6"/>
      <c r="G286" s="7"/>
      <c r="H286" s="7"/>
      <c r="I286" s="7"/>
    </row>
    <row r="287" spans="2:9" ht="30" customHeight="1" x14ac:dyDescent="0.25">
      <c r="B287" s="5"/>
      <c r="C287" s="5"/>
      <c r="D287" s="5"/>
      <c r="E287" s="5"/>
      <c r="F287" s="6"/>
      <c r="G287" s="7"/>
      <c r="H287" s="7"/>
      <c r="I287" s="7"/>
    </row>
    <row r="288" spans="2:9" ht="30" customHeight="1" x14ac:dyDescent="0.25">
      <c r="B288" s="5"/>
      <c r="C288" s="5"/>
      <c r="D288" s="5"/>
      <c r="E288" s="5"/>
      <c r="F288" s="6"/>
      <c r="G288" s="7"/>
      <c r="H288" s="7"/>
      <c r="I288" s="7"/>
    </row>
    <row r="289" spans="2:9" ht="30" customHeight="1" x14ac:dyDescent="0.25">
      <c r="B289" s="5"/>
      <c r="C289" s="5"/>
      <c r="D289" s="5"/>
      <c r="E289" s="5"/>
      <c r="F289" s="6"/>
      <c r="G289" s="7"/>
      <c r="H289" s="7"/>
      <c r="I289" s="7"/>
    </row>
    <row r="290" spans="2:9" ht="30" customHeight="1" x14ac:dyDescent="0.25">
      <c r="B290" s="5"/>
      <c r="C290" s="5"/>
      <c r="D290" s="5"/>
      <c r="E290" s="5"/>
      <c r="F290" s="6"/>
      <c r="G290" s="7"/>
      <c r="H290" s="7"/>
      <c r="I290" s="7"/>
    </row>
    <row r="291" spans="2:9" ht="30" customHeight="1" x14ac:dyDescent="0.25"/>
  </sheetData>
  <autoFilter ref="B1:J155"/>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WebpageOverrides</vt:lpstr>
      <vt:lpstr>MEPReadiness</vt:lpstr>
      <vt:lpstr>PendingEquipments</vt:lpstr>
      <vt:lpstr>ManpowerPlanning</vt:lpstr>
      <vt:lpstr>ManpowerSummary</vt:lpstr>
      <vt:lpstr>ManpowerPlan</vt:lpstr>
      <vt:lpstr>FinalSummary</vt:lpstr>
      <vt:lpstr>InstallationPlanBatch1</vt:lpstr>
      <vt:lpstr>PendingEquipments!Print_Area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2026-07-14T04:50:47Z</dcterms:created>
  <dcterms:modified xsi:type="dcterms:W3CDTF">2026-07-14T04:51:01Z</dcterms:modified>
</cp:coreProperties>
</file>